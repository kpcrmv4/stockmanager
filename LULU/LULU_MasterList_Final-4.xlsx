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4"/>
    <sheet state="visible" name="All On Menu" sheetId="2" r:id="rId5"/>
    <sheet state="visible" name="All Dishes" sheetId="3" r:id="rId6"/>
    <sheet state="visible" name="Food Cost" sheetId="4" r:id="rId7"/>
    <sheet state="hidden" name="SupplierList" sheetId="5" r:id="rId8"/>
    <sheet state="visible" name="Daily Spoil Inventory" sheetId="6" r:id="rId9"/>
  </sheets>
  <definedNames>
    <definedName name="MY_FUNCTION1">_xludf.lambda('[1] amore old menu (01.04'!$i$90+('[1] amore old menu (01.04'!$i$90*30%))</definedName>
    <definedName hidden="1" localSheetId="3" name="_xlnm._FilterDatabase">'Food Cost'!$A$29:$F$29</definedName>
    <definedName hidden="1" localSheetId="5" name="_xlnm._FilterDatabase">'Daily Spoil Inventory'!$A$27:$I$27</definedName>
  </definedNames>
  <calcPr/>
  <extLst>
    <ext uri="GoogleSheetsCustomDataVersion2">
      <go:sheetsCustomData xmlns:go="http://customooxmlschemas.google.com/" r:id="rId10" roundtripDataChecksum="QL8nrxnvDG2ouorW6bXHy2mrWO936TwEUnJsBRxgPiQ="/>
    </ext>
  </extLst>
</workbook>
</file>

<file path=xl/sharedStrings.xml><?xml version="1.0" encoding="utf-8"?>
<sst xmlns="http://schemas.openxmlformats.org/spreadsheetml/2006/main" count="2126" uniqueCount="572">
  <si>
    <t>🍽️  MASTER INGREDIENT LIST  —  LULU Korean Restaurant</t>
  </si>
  <si>
    <t>#</t>
  </si>
  <si>
    <t>Ingredient</t>
  </si>
  <si>
    <t>Category</t>
  </si>
  <si>
    <t>Unit</t>
  </si>
  <si>
    <t>Pack Size (g)</t>
  </si>
  <si>
    <t>Pack Price (฿)</t>
  </si>
  <si>
    <t>Cost / g (฿)</t>
  </si>
  <si>
    <t>Source</t>
  </si>
  <si>
    <t>Pack Size (kg)</t>
  </si>
  <si>
    <t>Price / kg (฿)</t>
  </si>
  <si>
    <t xml:space="preserve">  🥩  Meats &amp; Proteins</t>
  </si>
  <si>
    <t>Beef</t>
  </si>
  <si>
    <t>Meats &amp; Proteins</t>
  </si>
  <si>
    <t>g</t>
  </si>
  <si>
    <t>Beef Short Ribs</t>
  </si>
  <si>
    <t>Chicken</t>
  </si>
  <si>
    <t>Chicken Egg</t>
  </si>
  <si>
    <t>Pcs</t>
  </si>
  <si>
    <t>Clams / Shellfish</t>
  </si>
  <si>
    <t>Dumplings (Mandu)</t>
  </si>
  <si>
    <t>Fish Cake</t>
  </si>
  <si>
    <t>Fried Chicken</t>
  </si>
  <si>
    <t>Pork</t>
  </si>
  <si>
    <t>Pork Belly</t>
  </si>
  <si>
    <t>Quail Eggs</t>
  </si>
  <si>
    <t>Saba Fish</t>
  </si>
  <si>
    <t>Seafood</t>
  </si>
  <si>
    <t>Shrimp</t>
  </si>
  <si>
    <t>Spam</t>
  </si>
  <si>
    <t>Squid</t>
  </si>
  <si>
    <t>Tamago (Sweet Fried Egg)</t>
  </si>
  <si>
    <t xml:space="preserve">  🥦  Vegetables</t>
  </si>
  <si>
    <t>Baby Cos Lettuce</t>
  </si>
  <si>
    <t>Vegetables</t>
  </si>
  <si>
    <t>Bean Sprouts</t>
  </si>
  <si>
    <t>Cabbage</t>
  </si>
  <si>
    <t>Carrot</t>
  </si>
  <si>
    <t>Cucumber</t>
  </si>
  <si>
    <t>Daikon Radish</t>
  </si>
  <si>
    <t>Edamame</t>
  </si>
  <si>
    <t>Enoki Mushroom</t>
  </si>
  <si>
    <t>Fried Tofu Sheet</t>
  </si>
  <si>
    <t>Garlic</t>
  </si>
  <si>
    <t>Garlic Chives</t>
  </si>
  <si>
    <t>Ginger</t>
  </si>
  <si>
    <t>Green Chili</t>
  </si>
  <si>
    <t>Green Onion</t>
  </si>
  <si>
    <t>Green Papaya</t>
  </si>
  <si>
    <t>Japanese Cucumber</t>
  </si>
  <si>
    <t>Japanese Green Onion</t>
  </si>
  <si>
    <t>Kashmiri Chili Powder</t>
  </si>
  <si>
    <t>Kimchi</t>
  </si>
  <si>
    <t>Korean Chili</t>
  </si>
  <si>
    <t>Korean Chili (Large)</t>
  </si>
  <si>
    <t>Korean Chili (Small)</t>
  </si>
  <si>
    <t>Large Dried Chili</t>
  </si>
  <si>
    <t>Napa Cabbage</t>
  </si>
  <si>
    <t>Onion</t>
  </si>
  <si>
    <t>Red Chili</t>
  </si>
  <si>
    <t>Shiitake Mushroom</t>
  </si>
  <si>
    <t>Soft Tofu (Sundubu)</t>
  </si>
  <si>
    <t>Spinach</t>
  </si>
  <si>
    <t>Tofu</t>
  </si>
  <si>
    <t>Zucchini</t>
  </si>
  <si>
    <t xml:space="preserve">  🍶  Sauces &amp; Condiments</t>
  </si>
  <si>
    <t>Bibimbap Sauce</t>
  </si>
  <si>
    <t>Sauces &amp; Condiments</t>
  </si>
  <si>
    <t>Bulgogi Sauce</t>
  </si>
  <si>
    <t>Fish Sauce</t>
  </si>
  <si>
    <t>Galbi Sauce</t>
  </si>
  <si>
    <t>Ganjang Sauce</t>
  </si>
  <si>
    <t>Gochujang (Chili Paste)</t>
  </si>
  <si>
    <t>Gochujang Dipping Sauce</t>
  </si>
  <si>
    <t>Gochujang Sauce</t>
  </si>
  <si>
    <t>Korean Dark Soy Sauce</t>
  </si>
  <si>
    <t>Korean Ganjang Soy Sauce</t>
  </si>
  <si>
    <t>Korean Soy Sauce</t>
  </si>
  <si>
    <t>Korean Vinegar</t>
  </si>
  <si>
    <t>MSG (Thai)</t>
  </si>
  <si>
    <t>MSG / Seasoning</t>
  </si>
  <si>
    <t>Salt</t>
  </si>
  <si>
    <t>Seoul Zeed (Korean Seasoning)</t>
  </si>
  <si>
    <t>Sesame Oil</t>
  </si>
  <si>
    <t>ML</t>
  </si>
  <si>
    <t>Sugar</t>
  </si>
  <si>
    <t xml:space="preserve">  🌾  Pantry &amp; Dry Goods</t>
  </si>
  <si>
    <t>Cheese</t>
  </si>
  <si>
    <t>Pantry &amp; Dry Goods</t>
  </si>
  <si>
    <t>Dried Seaweed</t>
  </si>
  <si>
    <t>Glass Noodles</t>
  </si>
  <si>
    <t>Glutinous Rice Flour</t>
  </si>
  <si>
    <t>Japanese Rice</t>
  </si>
  <si>
    <t>Noodle</t>
  </si>
  <si>
    <t>Ramyeon</t>
  </si>
  <si>
    <t>Rice Cake (Tteok)</t>
  </si>
  <si>
    <t>Seaweed</t>
  </si>
  <si>
    <t>Sesame Seeds</t>
  </si>
  <si>
    <t>Tempura / Frying Flour</t>
  </si>
  <si>
    <t>Water</t>
  </si>
  <si>
    <t>Wheat Flour</t>
  </si>
  <si>
    <t>🍽️   ALL ON MENU  —  LULU Korean Restaurant   |   Full Menu</t>
  </si>
  <si>
    <t>✅ In All Dishes  =  dish has cost data in All Dishes sheet   |   Price (฿) = fill in your selling price</t>
  </si>
  <si>
    <t>📋 Total menu items: 59   |   Menu sections: 8</t>
  </si>
  <si>
    <t>🥢  Side Dishes   (13 items)</t>
  </si>
  <si>
    <t>Dish Name</t>
  </si>
  <si>
    <t>Key Ingredients</t>
  </si>
  <si>
    <t>Price (฿)</t>
  </si>
  <si>
    <t>Menu</t>
  </si>
  <si>
    <t>In All Dishes</t>
  </si>
  <si>
    <t>Notes</t>
  </si>
  <si>
    <t>Napa Cabbage Kimchi - 85g</t>
  </si>
  <si>
    <t>Napa Cabbage, Onion, Garlic, Garlic Chives, Ginger, Green Onion, ...</t>
  </si>
  <si>
    <t>LULU</t>
  </si>
  <si>
    <t>✅ In All Dishes</t>
  </si>
  <si>
    <t>Cucumber Kimchi - 85g</t>
  </si>
  <si>
    <t>Cucumber, Carrot, Korean Chili (Small), Korean Chili (Large), Sugar, Fish Sauce, ...</t>
  </si>
  <si>
    <t>Papaya Kimchi - 85g</t>
  </si>
  <si>
    <t>Green Papaya, Korean Chili (Small), Korean Chili (Large), MSG / Seasoning, Korean Ganjang Soy Sauce, Seoul Zeed (Korean Seasoning), ...</t>
  </si>
  <si>
    <t>Stir Fried Spinach - 85g</t>
  </si>
  <si>
    <t>Spinach, Carrot, Red Chili, MSG / Seasoning</t>
  </si>
  <si>
    <t>Fried Zucchini x 3</t>
  </si>
  <si>
    <t>Zucchini, Chicken Egg, Tempura / Frying Flour</t>
  </si>
  <si>
    <t>Pickled Radish - 85g</t>
  </si>
  <si>
    <t>Daikon Radish, Sugar, Korean Vinegar, Water, Salt</t>
  </si>
  <si>
    <t>Quail Eggs x 4</t>
  </si>
  <si>
    <t>Quail Eggs, Korean Ganjang Soy Sauce, Red Chili, Green Chili, Korean Dark Soy Sauce, Water.</t>
  </si>
  <si>
    <t>Stir Fried Fish Cake - 85g</t>
  </si>
  <si>
    <t>Fish Cake, Carrot, Japanese Green Onion, Onion, MSG / Seasoning, Korean Ganjang Soy Sauce</t>
  </si>
  <si>
    <t>Tamago - Rolled Eggs x 3</t>
  </si>
  <si>
    <t>Chicken Egg, Green Onion, Carrot, Salt, MSG / Seasoning</t>
  </si>
  <si>
    <t>Fried Tofu x 3</t>
  </si>
  <si>
    <t>Tofu, Chicken Egg, Tempura / Frying Flour</t>
  </si>
  <si>
    <t>Stir Fried Bean Sprouts - 85g</t>
  </si>
  <si>
    <t>Bean Sprouts, Garlic, Green Onion, Sesame Oil, Sesame Seeds, MSG / Seasoning, ...</t>
  </si>
  <si>
    <t>🍱  To Share   (9 items)</t>
  </si>
  <si>
    <t>Dumplings (Gogi Mandu)</t>
  </si>
  <si>
    <t>Dumplings (Mandu), Ganjang Sauce, Korean Chili</t>
  </si>
  <si>
    <t>Spicy Fried Chicken</t>
  </si>
  <si>
    <t>Chicken, Gochujang (Chili Paste), Kashmiri Chili Powder</t>
  </si>
  <si>
    <t>Garlic Fried Chicken</t>
  </si>
  <si>
    <t>Chicken, Garlic, Gochujang (Chili Paste)</t>
  </si>
  <si>
    <t>Kimchi-jeon (V)</t>
  </si>
  <si>
    <t>Kimchi, Tempura / Frying Flour, Seoul Zeed (Korean Seasoning), MSG / Seasoning</t>
  </si>
  <si>
    <t>Seafood Jeon (Shrimp, Squid, Clams)</t>
  </si>
  <si>
    <t>Shrimp, Squid, Clams / Shellfish, Garlic Chives, Tempura / Frying Flour, Chicken Egg, ...</t>
  </si>
  <si>
    <t>Edamame, Salt</t>
  </si>
  <si>
    <t>Spicy Edamame</t>
  </si>
  <si>
    <t>Edamame, Korean Chili (Small), Garlic, Sesame Oil, Salt</t>
  </si>
  <si>
    <t>Japchae</t>
  </si>
  <si>
    <t>Glass Noodles, Beef, Spinach, Carrot, Onion, Shiitake Mushroom, ...</t>
  </si>
  <si>
    <t>Tteokbokki</t>
  </si>
  <si>
    <t>Rice Cake (Tteok), Gochujang (Chili Paste), Fish Cake, Cabbage, Green Onion, Sugar, ...</t>
  </si>
  <si>
    <t>🍖  Main Set  + Rice, Side Dish x 4, Seaweed Soup (12 items)</t>
  </si>
  <si>
    <t xml:space="preserve">Grilled Saba Fish </t>
  </si>
  <si>
    <t>Saba Fish, Bibimbap Sauce, Rice, Side Dish x 4, Seaweed Soup</t>
  </si>
  <si>
    <t>Squid Gochujang</t>
  </si>
  <si>
    <t>Squid, Onion, Carrot, Red Chili, Green Chili, Gochujang Dipping Sauce, ...</t>
  </si>
  <si>
    <t>Pork Belly Gochujang</t>
  </si>
  <si>
    <t>Pork, Onion, Carrot, Red Chili, Green Chili, Gochujang Dipping Sauce, ...</t>
  </si>
  <si>
    <t>Bossam - Boiled Pork Belly</t>
  </si>
  <si>
    <t>Pork, Garlic, Red Chili, Green Chili, Japanese Green Onion</t>
  </si>
  <si>
    <t>A4 Wagyu (100g)</t>
  </si>
  <si>
    <t>Beef, Garlic, Red Chili, Green Chili, Japanese Green Onion</t>
  </si>
  <si>
    <t>Pork Bulgogi</t>
  </si>
  <si>
    <t>Pork, Enoki Mushroom, Red Chili, Green Chili, Bulgogi Sauce, Garlic Chives, ...</t>
  </si>
  <si>
    <t>Beef Bulgogi</t>
  </si>
  <si>
    <t>Beef, Enoki Mushroom, Red Chili, Green Chili, Bulgogi Sauce, Garlic Chives, ...</t>
  </si>
  <si>
    <t>Beef Bibimbap + Fried Egg</t>
  </si>
  <si>
    <t>Japanese Rice, Beef, Bean Sprouts, Carrot, Zucchini, Spinach, ...</t>
  </si>
  <si>
    <t>Pork Bibimbap + Fried Egg</t>
  </si>
  <si>
    <t>Japanese Rice, Pork, Bean Sprouts, Carrot, Zucchini, Spinach, ...</t>
  </si>
  <si>
    <t>LA Galbi (Korean BBQ Short Ribs)</t>
  </si>
  <si>
    <t>Beef Short Ribs, Galbi Sauce, Garlic, Japanese Green Onion, Sesame Oil, Sugar, ...</t>
  </si>
  <si>
    <t>Kimchi Fried Rice + Fried Egg</t>
  </si>
  <si>
    <t>Japanese Rice, Kimchi, Chicken Egg, Sesame Oil, Sesame Seeds, Green Onion, ...</t>
  </si>
  <si>
    <t>🍲  Soup Set (Jjigae)   (3 items)</t>
  </si>
  <si>
    <t>Kimchi Jjgae Soup</t>
  </si>
  <si>
    <t>Kimchi, Red Chili, Green Chili, Pork Belly, Soft Tofu (Sundubu), MSG / Seasoning, ...</t>
  </si>
  <si>
    <t>Seafood Sundubu</t>
  </si>
  <si>
    <t>Red Chili, Green Chili, Pork Belly, Soft Tofu (Sundubu), MSG / Seasoning, Fish Sauce</t>
  </si>
  <si>
    <t>Spam Kimchi Jjigae</t>
  </si>
  <si>
    <t>Spam, Red Chili, Green Chili, Pork Belly, Soft Tofu (Sundubu), MSG / Seasoning, ...</t>
  </si>
  <si>
    <t>Seaweed Soup</t>
  </si>
  <si>
    <t xml:space="preserve">Cold Kimchi Noodle </t>
  </si>
  <si>
    <t>Noodle, Gochujang Sauce, Japanese Cucumber, Baby Cos Lettuce, Seaweed, Carrot</t>
  </si>
  <si>
    <t>Pork Ramyeon (Soup)</t>
  </si>
  <si>
    <t>Ramyeon, Egg, Enoki Mushroom, Water, Pork</t>
  </si>
  <si>
    <t>Seafood Ramyeon (Soup)</t>
  </si>
  <si>
    <t>Ramyeon, Egg, Enoki Mushroom, Water, Seafood</t>
  </si>
  <si>
    <t>Pork Ramyeon (Dry)</t>
  </si>
  <si>
    <t>Ramyeon, Cheese, Egg, Pork</t>
  </si>
  <si>
    <t>Seafood Ramyeon (Dry)</t>
  </si>
  <si>
    <t>Ramyeon, Cheese, Egg, Seafood</t>
  </si>
  <si>
    <t>🍱  Dosirak Lunchbox   (4 items)</t>
  </si>
  <si>
    <t>Spam Dosirak</t>
  </si>
  <si>
    <t>Japanese Rice, Fried Tofu Sheet, Kimchi, Fried Chicken, Tamago (Sweet Fried Egg), Zucchini, ...</t>
  </si>
  <si>
    <t>Squid Gochujang Dosirak</t>
  </si>
  <si>
    <t>Shrimp Dosirak</t>
  </si>
  <si>
    <t>Pork Belly Dorisak</t>
  </si>
  <si>
    <t>Japanese Rice, Pork, Fried Tofu Sheet, Kimchi, Fried Chicken, Tamago (Sweet Fried Egg), ...</t>
  </si>
  <si>
    <t>🥂  Drinks   (9 items)</t>
  </si>
  <si>
    <t>Jinro Chamisul Fresh</t>
  </si>
  <si>
    <t>Jinro Chamisul Strawberry</t>
  </si>
  <si>
    <t>Jinro Chamisul Peach</t>
  </si>
  <si>
    <t>Jinro Chamisul Grape</t>
  </si>
  <si>
    <t>Terra Beer</t>
  </si>
  <si>
    <t>Jinro + Yakult + Sprite</t>
  </si>
  <si>
    <t>Jinro + Yakult + Cucumber</t>
  </si>
  <si>
    <t>Jinro + Yakult + Mogu Mogu</t>
  </si>
  <si>
    <t>Jinro Grape + Lemonade + Soda</t>
  </si>
  <si>
    <t>➕🍖  Additional Main Set   (2 items)</t>
  </si>
  <si>
    <t>LULU — Food Cost &amp; Recipe Summary (All Categories)</t>
  </si>
  <si>
    <t>▌  SIDE DISHES</t>
  </si>
  <si>
    <t>No.</t>
  </si>
  <si>
    <t>Ingredient (EN)</t>
  </si>
  <si>
    <t>Pack Price</t>
  </si>
  <si>
    <t>Cost/g</t>
  </si>
  <si>
    <t>Use Weight</t>
  </si>
  <si>
    <t>Use Weight (g/pcs)</t>
  </si>
  <si>
    <r>
      <rPr>
        <rFont val="Calibri"/>
        <b/>
        <color rgb="FFFFFFFF"/>
        <sz val="9.0"/>
      </rPr>
      <t>Total Cost (</t>
    </r>
    <r>
      <rPr>
        <rFont val="Arial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</si>
  <si>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Napa Cabbage Kimchi</t>
  </si>
  <si>
    <t>Thai Green Onion</t>
  </si>
  <si>
    <t>Dried Red Chili</t>
  </si>
  <si>
    <t>Korean Chili Flakes</t>
  </si>
  <si>
    <t>Total Food Cost (incl. 30% Damage/Waste)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</si>
  <si>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</si>
  <si>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Cucumber Kimchi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</si>
  <si>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</si>
  <si>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Korean Kanjang Soy Sauce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</si>
  <si>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</si>
  <si>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Spinach Banchan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</si>
  <si>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</si>
  <si>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Fried Zucchini</t>
  </si>
  <si>
    <t>Frying Flour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</si>
  <si>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</si>
  <si>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Radish (Seasoned)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</si>
  <si>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</si>
  <si>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</si>
  <si>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Quail eggs</t>
  </si>
  <si>
    <t>Japanese Spring Onion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</si>
  <si>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</si>
  <si>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Stir Fried Fish Cake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</si>
  <si>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</si>
  <si>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Tamago - Rolled Eggs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</si>
  <si>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</si>
  <si>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Fried Tofu</t>
  </si>
  <si>
    <t>Gogi Frying Flour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</si>
  <si>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</si>
  <si>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Cucumber Salad (Yum Taengkwa)</t>
  </si>
  <si>
    <t>Fine Chili Powder</t>
  </si>
  <si>
    <t>Coarse Chili Flakes</t>
  </si>
  <si>
    <t>White Sugar</t>
  </si>
  <si>
    <t>MSG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</si>
  <si>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</si>
  <si>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Stir-Fried Papaya (Pad Malako)</t>
  </si>
  <si>
    <t>Kanjang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</si>
  <si>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</si>
  <si>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Stir-Fried Spinach</t>
  </si>
  <si>
    <t>Meat Flavor Powder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</si>
  <si>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</si>
  <si>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Stir-Fried Bean Sprouts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</si>
  <si>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</si>
  <si>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Fried Zucchini (1 Plate)</t>
  </si>
  <si>
    <t>Egg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</si>
  <si>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</si>
  <si>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Pickled Daikon Radish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</si>
  <si>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</si>
  <si>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</si>
  <si>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</si>
  <si>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Seaweed Soup (Miyeokguk)</t>
  </si>
  <si>
    <t>Beef Flavor Powder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</si>
  <si>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</si>
  <si>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▌  TO SHARE</t>
  </si>
  <si>
    <t>Cost / Price</t>
  </si>
  <si>
    <t>Pack Qty</t>
  </si>
  <si>
    <t>Price per g/pcs</t>
  </si>
  <si>
    <r>
      <rPr>
        <rFont val="Calibri"/>
        <b/>
        <color rgb="FFFFFFFF"/>
        <sz val="9.0"/>
      </rPr>
      <t>Total Cost 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</si>
  <si>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Dumplings x 8pcs</t>
  </si>
  <si>
    <t>Kanjang Sauce</t>
  </si>
  <si>
    <t>Korean Chili Powder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</si>
  <si>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</si>
  <si>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Fried Chicken Gochujang Sauce</t>
  </si>
  <si>
    <t>Green Jinda Chili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</si>
  <si>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</si>
  <si>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Tteokbokki Gochujang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</si>
  <si>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</si>
  <si>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Kimchi Jeon (V)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</si>
  <si>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</si>
  <si>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Seafood Jeon (Shrimp, Squid &amp; Clam)</t>
  </si>
  <si>
    <t>หอย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</si>
  <si>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</si>
  <si>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Oyster Mushroom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</si>
  <si>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</si>
  <si>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 xml:space="preserve">Tteokbokki </t>
  </si>
  <si>
    <t>Fish cake</t>
  </si>
  <si>
    <t xml:space="preserve">Carrot </t>
  </si>
  <si>
    <t>Japan spring onion</t>
  </si>
  <si>
    <t>Red chili</t>
  </si>
  <si>
    <t>Green chili</t>
  </si>
  <si>
    <t xml:space="preserve">Tteokbokki Sauce 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</si>
  <si>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</si>
  <si>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▌  MAIN SET  —  including Japanese Rice + Side Dish x4 + Seaweed Soup</t>
  </si>
  <si>
    <r>
      <rPr>
        <rFont val="Calibri"/>
        <b/>
        <color rgb="FFFFFFFF"/>
        <sz val="9.0"/>
      </rPr>
      <t>Total Cost 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</si>
  <si>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Saba Fish (Mackerel)</t>
  </si>
  <si>
    <t>Rice</t>
  </si>
  <si>
    <t>Soup</t>
  </si>
  <si>
    <t>SD</t>
  </si>
  <si>
    <t>Quail Eggs x 3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</si>
  <si>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</si>
  <si>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Spicy Chicken</t>
  </si>
  <si>
    <t>Bird's Eye Chili Powder</t>
  </si>
  <si>
    <t>Cucumber Salad</t>
  </si>
  <si>
    <t>Radish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</si>
  <si>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</si>
  <si>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Garlic Fried Chicken Gochujang Sauce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</si>
  <si>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</si>
  <si>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</si>
  <si>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</si>
  <si>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 xml:space="preserve">Bossam - Boiled Pork Belly Wrap  </t>
  </si>
  <si>
    <t xml:space="preserve">Japan spring onion </t>
  </si>
  <si>
    <t xml:space="preserve">Garlic </t>
  </si>
  <si>
    <t>Baby Cos</t>
  </si>
  <si>
    <t>Oba (ผักใบงา)</t>
  </si>
  <si>
    <t>Sauce</t>
  </si>
  <si>
    <t>Ssamjang Sauce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</si>
  <si>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</si>
  <si>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 xml:space="preserve">A4 Wagyu Striploin Wrap </t>
  </si>
  <si>
    <t xml:space="preserve">Fish cake </t>
  </si>
  <si>
    <t>Sesame oil</t>
  </si>
  <si>
    <t>ml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</si>
  <si>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</si>
  <si>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Pork Neck Bulgogi</t>
  </si>
  <si>
    <t xml:space="preserve">Pork Neck </t>
  </si>
  <si>
    <t>Baby cos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</si>
  <si>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</si>
  <si>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Beef UK Bulgogi</t>
  </si>
  <si>
    <t>Beef Uk</t>
  </si>
  <si>
    <t xml:space="preserve">Radish 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</si>
  <si>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</si>
  <si>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Beef UK Bimbimbap + Fried Egg</t>
  </si>
  <si>
    <t>Beef UK</t>
  </si>
  <si>
    <t xml:space="preserve">Mushroom </t>
  </si>
  <si>
    <t xml:space="preserve"> Kimchi</t>
  </si>
  <si>
    <t xml:space="preserve">Gochujang sauce 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</si>
  <si>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</si>
  <si>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Pork Bimbimbap + Fried Egg</t>
  </si>
  <si>
    <t xml:space="preserve">Sauce 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</si>
  <si>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</si>
  <si>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Squid Bimbimbap + Fried Egg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</si>
  <si>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</si>
  <si>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 xml:space="preserve"> Kimchi Fried Rice</t>
  </si>
  <si>
    <t>PCs</t>
  </si>
  <si>
    <t xml:space="preserve">Ghana Cheese </t>
  </si>
  <si>
    <t>Dried Shredded Seaweed</t>
  </si>
  <si>
    <t xml:space="preserve">Red chili </t>
  </si>
  <si>
    <t xml:space="preserve">White sesame </t>
  </si>
  <si>
    <t xml:space="preserve"> Cucumber Kimchi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</si>
  <si>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</si>
  <si>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 xml:space="preserve">LA Galbi wagyu (Korean BBQ Short Ribs) </t>
  </si>
  <si>
    <t>Wagyu Beef Rib</t>
  </si>
  <si>
    <t xml:space="preserve">Onion </t>
  </si>
  <si>
    <t>Oba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</si>
  <si>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</si>
  <si>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▌  NOODLES SET  —  including Baby Cos, Side Dish x4, Seaweed Soup</t>
  </si>
  <si>
    <r>
      <rPr>
        <rFont val="Calibri"/>
        <b/>
        <color rgb="FFFFFFFF"/>
        <sz val="9.0"/>
      </rPr>
      <t>Total Cost 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</si>
  <si>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Cold Noodle pork Belly (DRY)</t>
  </si>
  <si>
    <t>Noodle (Somyeon)</t>
  </si>
  <si>
    <t xml:space="preserve">White Sesame </t>
  </si>
  <si>
    <t>Boiled Egg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</si>
  <si>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</si>
  <si>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Pork Belly Ramyeon (SOUP)</t>
  </si>
  <si>
    <t>Ramyeon (Instant Noodle)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</si>
  <si>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</si>
  <si>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Seafood Ramyeon (SOUP)</t>
  </si>
  <si>
    <t>Mussels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</si>
  <si>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</si>
  <si>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Pork Belly Ramyeon (DRY)</t>
  </si>
  <si>
    <t>Cheese Slice</t>
  </si>
  <si>
    <t>White Sesame Seeds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</si>
  <si>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</si>
  <si>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Seafood Ramyeon (DRY)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</si>
  <si>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</si>
  <si>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▌  DOSIRAK LUNCHBOX  —  including Seaweed Soup</t>
  </si>
  <si>
    <r>
      <rPr>
        <rFont val="Calibri"/>
        <b/>
        <color rgb="FFFFFFFF"/>
        <sz val="9.0"/>
      </rPr>
      <t>Total Cost 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</si>
  <si>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Sweet Rolled Egg</t>
  </si>
  <si>
    <t xml:space="preserve">Spinach </t>
  </si>
  <si>
    <t xml:space="preserve">Pastry </t>
  </si>
  <si>
    <t>Spam (Canned Pork)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</si>
  <si>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</si>
  <si>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Squid Dorisak</t>
  </si>
  <si>
    <t>Pastry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</si>
  <si>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</si>
  <si>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Shrimp Dorisak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</si>
  <si>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</si>
  <si>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 xml:space="preserve">pastry 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</si>
  <si>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</si>
  <si>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▌  SAUCE</t>
  </si>
  <si>
    <r>
      <rPr>
        <rFont val="Calibri"/>
        <b/>
        <color rgb="FFFFFFFF"/>
        <sz val="9.0"/>
      </rPr>
      <t>Total Cost 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</si>
  <si>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Gochujang Sauce (Saba Fish / Bibimbap)</t>
  </si>
  <si>
    <t>Gochujang (Unmixed)</t>
  </si>
  <si>
    <t>Korean Corn Syrup (Mulyeot)</t>
  </si>
  <si>
    <t>Sprite Soda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</si>
  <si>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</si>
  <si>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Spicy Fried Chicken Sauce</t>
  </si>
  <si>
    <t>Gochujang</t>
  </si>
  <si>
    <t>Tomato Sauce</t>
  </si>
  <si>
    <t>Thai Light Soy Sauce</t>
  </si>
  <si>
    <t>Red Jinda Chili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</si>
  <si>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</si>
  <si>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Garlic Fried Chicken Sauce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</si>
  <si>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</si>
  <si>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Japchae Sauce</t>
  </si>
  <si>
    <t>Black Pepper</t>
  </si>
  <si>
    <t>Dark Soy Sauce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</si>
  <si>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</si>
  <si>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Soju (Samiiso Brand)</t>
  </si>
  <si>
    <t>Pear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</si>
  <si>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</si>
  <si>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Tteokbokki Sauce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</si>
  <si>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</si>
  <si>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▌  SOUP SET  —  including Japanese Rice + Side Dish x4</t>
  </si>
  <si>
    <r>
      <rPr>
        <rFont val="Calibri"/>
        <b/>
        <color rgb="FFFFFFFF"/>
        <sz val="9.0"/>
      </rPr>
      <t>Total Cost 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</si>
  <si>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 xml:space="preserve"> Pork Belly Kimchi Soup</t>
  </si>
  <si>
    <t>kimchi</t>
  </si>
  <si>
    <t>Japanese Silken Tofu</t>
  </si>
  <si>
    <t xml:space="preserve">Enoki mushroom </t>
  </si>
  <si>
    <t>Spnich</t>
  </si>
  <si>
    <t xml:space="preserve">Bean Sprout 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</si>
  <si>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</si>
  <si>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Seafood Kimchi Soup</t>
  </si>
  <si>
    <t xml:space="preserve">Enoki Mushrooms 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</si>
  <si>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</si>
  <si>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Spam Kimchi Soup</t>
  </si>
  <si>
    <t>Silken Tofu (Tube)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</si>
  <si>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</si>
  <si>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Seafood Sudubu Soup</t>
  </si>
  <si>
    <t xml:space="preserve">Zucchini </t>
  </si>
  <si>
    <t xml:space="preserve">Mussels </t>
  </si>
  <si>
    <t xml:space="preserve">Shrimp </t>
  </si>
  <si>
    <t xml:space="preserve">Squid </t>
  </si>
  <si>
    <t>Egg Tofu</t>
  </si>
  <si>
    <t xml:space="preserve">Sudubu Sauce 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</si>
  <si>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</si>
  <si>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Spam &amp; Seafood Sudubu Soup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</si>
  <si>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</si>
  <si>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 xml:space="preserve">▌  Side Dishes </t>
  </si>
  <si>
    <r>
      <rPr>
        <rFont val="Calibri"/>
        <b/>
        <color rgb="FFFFFFFF"/>
        <sz val="9.0"/>
      </rPr>
      <t>Total Cost 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</si>
  <si>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 xml:space="preserve">Napa Cabbage kimchi </t>
  </si>
  <si>
    <t xml:space="preserve">Cucumber Kimchi </t>
  </si>
  <si>
    <t xml:space="preserve">Green papaya kimchi </t>
  </si>
  <si>
    <t xml:space="preserve">Stir Fried Spinach </t>
  </si>
  <si>
    <t>Braised Quail Egg</t>
  </si>
  <si>
    <t xml:space="preserve">Pickled Radish </t>
  </si>
  <si>
    <t>Stir Fried fish cake</t>
  </si>
  <si>
    <t>Stir Fried Bean sprout</t>
  </si>
  <si>
    <t>Fried Egg</t>
  </si>
  <si>
    <t xml:space="preserve">Fried Zucchini </t>
  </si>
  <si>
    <t>▌  DRINKS</t>
  </si>
  <si>
    <r>
      <rPr>
        <rFont val="Calibri"/>
        <b/>
        <color rgb="FFFFFFFF"/>
        <sz val="9.0"/>
      </rPr>
      <t>Total Cost (</t>
    </r>
    <r>
      <rPr>
        <rFont val="FreeSans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</si>
  <si>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Jinro Chimisul Fresh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</si>
  <si>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</si>
  <si>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Jinro Chimisul Strawberry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</si>
  <si>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</si>
  <si>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Jinro Chimisul Peach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</si>
  <si>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</si>
  <si>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Jinro Chimisul Grape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</si>
  <si>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</si>
  <si>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</si>
  <si>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Jinro Chimisul Fresh + Yakult  + Sprite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</si>
  <si>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</si>
  <si>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Jinro Chimisul Fresh + Yakult + Cucumber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</si>
  <si>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</si>
  <si>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Jinro Chimisul Fresh + Yafult +  Mogu Mogu with jelly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</si>
  <si>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</si>
  <si>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Jinro Chimisul Grape + lemonade + Soda + lemon garnish</t>
  </si>
  <si>
    <r>
      <rPr>
        <rFont val="Calibri"/>
        <b/>
        <color rgb="FF1B5E20"/>
        <sz val="9.0"/>
      </rPr>
      <t>Sell Price (</t>
    </r>
    <r>
      <rPr>
        <rFont val="FreeSans"/>
        <b/>
        <color rgb="FF1B5E20"/>
        <sz val="9.0"/>
      </rPr>
      <t>฿</t>
    </r>
    <r>
      <rPr>
        <rFont val="Calibri"/>
        <b/>
        <color rgb="FF1B5E20"/>
        <sz val="9.0"/>
      </rPr>
      <t>)</t>
    </r>
  </si>
  <si>
    <t>🍽️   FOOD COST 2025–2027  —  LULU KOREAN BISTRO</t>
  </si>
  <si>
    <t xml:space="preserve">  📊  MONTHLY SUMMARY</t>
  </si>
  <si>
    <t>Month</t>
  </si>
  <si>
    <r>
      <rPr>
        <rFont val="Calibri"/>
        <b/>
        <color rgb="FFFFFFFF"/>
        <sz val="9.0"/>
      </rPr>
      <t>Food Cost (</t>
    </r>
    <r>
      <rPr>
        <rFont val="Arial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</si>
  <si>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r>
      <rPr>
        <rFont val="Calibri"/>
        <b/>
        <color rgb="FFFFFFFF"/>
        <sz val="9.0"/>
      </rPr>
      <t>Sales (</t>
    </r>
    <r>
      <rPr>
        <rFont val="Arial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</si>
  <si>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Food Cost %</t>
  </si>
  <si>
    <t>Transactions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</si>
  <si>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</si>
  <si>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</si>
  <si>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</si>
  <si>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</si>
  <si>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</si>
  <si>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</si>
  <si>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</si>
  <si>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</si>
  <si>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</si>
  <si>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</si>
  <si>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</si>
  <si>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</si>
  <si>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</si>
  <si>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</si>
  <si>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</si>
  <si>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</si>
  <si>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</si>
  <si>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</si>
  <si>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</si>
  <si>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</si>
  <si>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</si>
  <si>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March 2027</t>
  </si>
  <si>
    <t>TOTAL</t>
  </si>
  <si>
    <t>Supplier</t>
  </si>
  <si>
    <t>Date</t>
  </si>
  <si>
    <r>
      <rPr>
        <rFont val="Calibri"/>
        <b/>
        <color rgb="FFFFFFFF"/>
        <sz val="9.0"/>
      </rPr>
      <t>Amount (</t>
    </r>
    <r>
      <rPr>
        <rFont val="Arial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</si>
  <si>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Staff</t>
  </si>
  <si>
    <t>Note</t>
  </si>
  <si>
    <t>Monthly Food Cost</t>
  </si>
  <si>
    <t>Monthly Sales</t>
  </si>
  <si>
    <t xml:space="preserve">  📅  June 2025</t>
  </si>
  <si>
    <t xml:space="preserve">  📅  July 2025</t>
  </si>
  <si>
    <t xml:space="preserve">  📅  August 2025</t>
  </si>
  <si>
    <t xml:space="preserve">  📅  September 2025</t>
  </si>
  <si>
    <t xml:space="preserve">  📅  October 2025</t>
  </si>
  <si>
    <t xml:space="preserve">  📅  November 2025</t>
  </si>
  <si>
    <t xml:space="preserve">  📅  December 2025</t>
  </si>
  <si>
    <t xml:space="preserve">  📅  January 2026</t>
  </si>
  <si>
    <t xml:space="preserve">  📅  February 2026</t>
  </si>
  <si>
    <t xml:space="preserve">  📅  March 2026</t>
  </si>
  <si>
    <t xml:space="preserve">  📅  April 2026</t>
  </si>
  <si>
    <t xml:space="preserve">  📅  May 2026</t>
  </si>
  <si>
    <t xml:space="preserve">  📅  June 2026</t>
  </si>
  <si>
    <t xml:space="preserve">  📅  July 2026</t>
  </si>
  <si>
    <t xml:space="preserve">  📅  August 2026</t>
  </si>
  <si>
    <t xml:space="preserve">  📅  September 2026</t>
  </si>
  <si>
    <t xml:space="preserve">  📅  October 2026</t>
  </si>
  <si>
    <t xml:space="preserve">  📅  November 2026</t>
  </si>
  <si>
    <t xml:space="preserve">  📅  December 2026</t>
  </si>
  <si>
    <t xml:space="preserve">  📅  January 2027</t>
  </si>
  <si>
    <t xml:space="preserve">  📅  February 2027</t>
  </si>
  <si>
    <t xml:space="preserve">  📅  March 2027</t>
  </si>
  <si>
    <t>Avocado Shop</t>
  </si>
  <si>
    <t>Delish Food</t>
  </si>
  <si>
    <t>Etc.</t>
  </si>
  <si>
    <t>Farang Food</t>
  </si>
  <si>
    <t>Freshket</t>
  </si>
  <si>
    <t>Gogo Foods</t>
  </si>
  <si>
    <t>Gourmet One</t>
  </si>
  <si>
    <t>Larder One</t>
  </si>
  <si>
    <t>Lineman shop</t>
  </si>
  <si>
    <t>Lotus's</t>
  </si>
  <si>
    <t>Makro</t>
  </si>
  <si>
    <t>Meatalia</t>
  </si>
  <si>
    <t>Micro green</t>
  </si>
  <si>
    <t>Office Depot</t>
  </si>
  <si>
    <t>Officina</t>
  </si>
  <si>
    <t>Ppn&amp;seafood</t>
  </si>
  <si>
    <t>Repertoire</t>
  </si>
  <si>
    <t>Siamsamut Warin</t>
  </si>
  <si>
    <t>Standard nursing</t>
  </si>
  <si>
    <t>The Food Smith</t>
  </si>
  <si>
    <t>Tiktok Shop</t>
  </si>
  <si>
    <t>Villa Market</t>
  </si>
  <si>
    <t>🗑️   DAILY SPOIL &amp; PRODUCT INVENTORY  —  Amore Restaurant</t>
  </si>
  <si>
    <t xml:space="preserve"> 🟡 Yellow = enter monthly sales in header</t>
  </si>
  <si>
    <t xml:space="preserve">  📊  MONTHLY SPOIL SUMMARY</t>
  </si>
  <si>
    <t>Total Entries</t>
  </si>
  <si>
    <r>
      <rPr>
        <rFont val="Calibri"/>
        <b/>
        <color rgb="FFFFFFFF"/>
        <sz val="9.0"/>
      </rPr>
      <t>Total Spoil Cost (</t>
    </r>
    <r>
      <rPr>
        <rFont val="Arial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</si>
  <si>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Item</t>
  </si>
  <si>
    <r>
      <rPr>
        <rFont val="Calibri"/>
        <b/>
        <color rgb="FFFFFFFF"/>
        <sz val="9.0"/>
      </rPr>
      <t>Price/Unit (</t>
    </r>
    <r>
      <rPr>
        <rFont val="Arial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</si>
  <si>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Qty (g)</t>
  </si>
  <si>
    <t>Qty (pcs)</t>
  </si>
  <si>
    <r>
      <rPr>
        <rFont val="Calibri"/>
        <b/>
        <color rgb="FFFFFFFF"/>
        <sz val="9.0"/>
      </rPr>
      <t>Cost (</t>
    </r>
    <r>
      <rPr>
        <rFont val="Arial"/>
        <b/>
        <color rgb="FFFFFFFF"/>
        <sz val="9.0"/>
      </rPr>
      <t>฿</t>
    </r>
    <r>
      <rPr>
        <rFont val="Calibri"/>
        <b/>
        <color rgb="FFFFFFFF"/>
        <sz val="9.0"/>
      </rPr>
      <t>)</t>
    </r>
  </si>
  <si>
    <t>Head Chef</t>
  </si>
  <si>
    <t>Remark</t>
  </si>
  <si>
    <t>⚠️ No cost data</t>
  </si>
  <si>
    <t>TOTAL 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</si>
</sst>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"/>
    <numFmt numFmtId="165" formatCode="#,##0.000"/>
    <numFmt numFmtId="166" formatCode="dd/mm/yyyy"/>
    <numFmt numFmtId="167" formatCode="\฿#,##0.00"/>
  </numFmts>
  <fonts count="53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sz val="10.0"/>
      <color rgb="FF2C2C2C"/>
      <name val="Arial"/>
    </font>
    <font>
      <sz val="10.0"/>
      <color rgb="FF000000"/>
      <name val="Arial"/>
    </font>
    <font>
      <b/>
      <sz val="12.0"/>
      <color rgb="FFFFFFFF"/>
      <name val="Arial"/>
    </font>
    <font/>
    <font>
      <sz val="9.0"/>
      <color rgb="FF1A6B3C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11.0"/>
      <color theme="1"/>
      <name val="Arial"/>
    </font>
    <font>
      <color theme="1"/>
      <name val="Arial"/>
    </font>
    <font>
      <sz val="9.0"/>
      <color theme="1"/>
      <name val="Arial"/>
    </font>
    <font>
      <color rgb="FF000000"/>
      <name val="Arial"/>
    </font>
    <font>
      <sz val="8.0"/>
      <color rgb="FF888888"/>
      <name val="Arial"/>
    </font>
    <font>
      <sz val="9.0"/>
      <color rgb="FF111111"/>
      <name val="Arial"/>
    </font>
    <font>
      <b/>
      <sz val="9.0"/>
      <color rgb="FF111111"/>
      <name val="Arial"/>
    </font>
    <font>
      <sz val="8.0"/>
      <color rgb="FF444444"/>
      <name val="Arial"/>
    </font>
    <font>
      <b/>
      <sz val="8.0"/>
      <color rgb="FF196F3D"/>
      <name val="Arial"/>
    </font>
    <font>
      <b/>
      <sz val="8.0"/>
      <color rgb="FF7D4510"/>
      <name val="Arial"/>
    </font>
    <font>
      <sz val="8.0"/>
      <color rgb="FF7D6608"/>
      <name val="Arial"/>
    </font>
    <font>
      <b/>
      <sz val="8.0"/>
      <color rgb="FF1E6B3A"/>
      <name val="Arial"/>
    </font>
    <font>
      <b/>
      <sz val="9.0"/>
      <color rgb="FF000000"/>
      <name val="Arial"/>
    </font>
    <font>
      <b/>
      <sz val="8.0"/>
      <color rgb="FF922B21"/>
      <name val="Arial"/>
    </font>
    <font>
      <sz val="8.0"/>
      <color rgb="FF922B21"/>
      <name val="Arial"/>
    </font>
    <font>
      <b/>
      <sz val="8.0"/>
      <color rgb="FF7B241C"/>
      <name val="Arial"/>
    </font>
    <font>
      <sz val="8.0"/>
      <color rgb="FF784212"/>
      <name val="Arial"/>
    </font>
    <font>
      <b/>
      <sz val="14.0"/>
      <color rgb="FFFFFFFF"/>
      <name val="Calibri"/>
    </font>
    <font>
      <sz val="11.0"/>
      <color theme="1"/>
      <name val="Calibri"/>
    </font>
    <font>
      <b/>
      <sz val="12.0"/>
      <color rgb="FFFFFFFF"/>
      <name val="Calibri"/>
    </font>
    <font>
      <b/>
      <sz val="9.0"/>
      <color rgb="FFFFFFFF"/>
      <name val="Calibri"/>
    </font>
    <font>
      <b/>
      <color rgb="FF1A3C5E"/>
      <name val="Calibri"/>
    </font>
    <font>
      <sz val="9.0"/>
      <color theme="1"/>
      <name val="Calibri"/>
    </font>
    <font>
      <b/>
      <i/>
      <sz val="9.0"/>
      <color rgb="FF7D4E00"/>
      <name val="Calibri"/>
    </font>
    <font>
      <b/>
      <sz val="9.0"/>
      <color rgb="FF7D4E00"/>
      <name val="Calibri"/>
    </font>
    <font>
      <b/>
      <sz val="9.0"/>
      <color rgb="FF1B5E20"/>
      <name val="Calibri"/>
    </font>
    <font>
      <sz val="9.0"/>
      <color theme="1"/>
      <name val="FreeSans"/>
    </font>
    <font>
      <color theme="1"/>
      <name val="Arial"/>
      <scheme val="minor"/>
    </font>
    <font>
      <sz val="10.0"/>
      <color theme="1"/>
      <name val="Arial"/>
    </font>
    <font>
      <b/>
      <sz val="9.0"/>
      <color rgb="FF1A1A1A"/>
      <name val="Calibri"/>
    </font>
    <font>
      <sz val="9.0"/>
      <color rgb="FF1A1A1A"/>
      <name val="Calibri"/>
    </font>
    <font>
      <b/>
      <sz val="9.0"/>
      <color rgb="FFFFDD44"/>
      <name val="Calibri"/>
    </font>
    <font>
      <b/>
      <sz val="11.0"/>
      <color rgb="FFFFFFFF"/>
      <name val="Calibri"/>
    </font>
    <font>
      <b/>
      <sz val="11.0"/>
      <color rgb="FFFFDD44"/>
      <name val="Calibri"/>
    </font>
    <font>
      <i/>
      <sz val="9.0"/>
      <color rgb="FF4A7BA8"/>
      <name val="Calibri"/>
    </font>
    <font>
      <sz val="9.0"/>
      <color rgb="FF555555"/>
      <name val="Calibri"/>
    </font>
    <font>
      <sz val="9.0"/>
      <color rgb="FF777777"/>
      <name val="Calibri"/>
    </font>
    <font>
      <sz val="8.0"/>
      <color rgb="FF555555"/>
      <name val="Calibri"/>
    </font>
    <font>
      <i/>
      <sz val="9.0"/>
      <color rgb="FF888888"/>
      <name val="Calibri"/>
    </font>
    <font>
      <sz val="9.0"/>
      <color rgb="FFFFD700"/>
      <name val="Calibri"/>
    </font>
    <font>
      <sz val="9.0"/>
      <color rgb="FF2471A3"/>
      <name val="Calibri"/>
    </font>
  </fonts>
  <fills count="56">
    <fill>
      <patternFill patternType="none"/>
    </fill>
    <fill>
      <patternFill patternType="lightGray"/>
    </fill>
    <fill>
      <patternFill patternType="solid">
        <fgColor rgb="FF173451"/>
        <bgColor rgb="FF173451"/>
      </patternFill>
    </fill>
    <fill>
      <patternFill patternType="solid">
        <fgColor rgb="FF314453"/>
        <bgColor rgb="FF314453"/>
      </patternFill>
    </fill>
    <fill>
      <patternFill patternType="solid">
        <fgColor rgb="FF851F0A"/>
        <bgColor rgb="FF851F0A"/>
      </patternFill>
    </fill>
    <fill>
      <patternFill patternType="solid">
        <fgColor rgb="FFFFF0EB"/>
        <bgColor rgb="FFFFF0EB"/>
      </patternFill>
    </fill>
    <fill>
      <patternFill patternType="solid">
        <fgColor rgb="FFFFE0D5"/>
        <bgColor rgb="FFFFE0D5"/>
      </patternFill>
    </fill>
    <fill>
      <patternFill patternType="solid">
        <fgColor rgb="FF0E5D3B"/>
        <bgColor rgb="FF0E5D3B"/>
      </patternFill>
    </fill>
    <fill>
      <patternFill patternType="solid">
        <fgColor rgb="FFECFBF3"/>
        <bgColor rgb="FFECFBF3"/>
      </patternFill>
    </fill>
    <fill>
      <patternFill patternType="solid">
        <fgColor rgb="FFCEF2E3"/>
        <bgColor rgb="FFCEF2E3"/>
      </patternFill>
    </fill>
    <fill>
      <patternFill patternType="solid">
        <fgColor rgb="FFEBF3FF"/>
        <bgColor rgb="FFEBF3FF"/>
      </patternFill>
    </fill>
    <fill>
      <patternFill patternType="solid">
        <fgColor rgb="FFD6E8FF"/>
        <bgColor rgb="FFD6E8FF"/>
      </patternFill>
    </fill>
    <fill>
      <patternFill patternType="solid">
        <fgColor rgb="FF815800"/>
        <bgColor rgb="FF815800"/>
      </patternFill>
    </fill>
    <fill>
      <patternFill patternType="solid">
        <fgColor rgb="FFFFFAEB"/>
        <bgColor rgb="FFFFFAEB"/>
      </patternFill>
    </fill>
    <fill>
      <patternFill patternType="solid">
        <fgColor rgb="FFFFF3CC"/>
        <bgColor rgb="FFFFF3CC"/>
      </patternFill>
    </fill>
    <fill>
      <patternFill patternType="solid">
        <fgColor rgb="FFFFFFFF"/>
        <bgColor rgb="FFFFFFFF"/>
      </patternFill>
    </fill>
    <fill>
      <patternFill patternType="solid">
        <fgColor rgb="FFF5F5F7"/>
        <bgColor rgb="FFF5F5F7"/>
      </patternFill>
    </fill>
    <fill>
      <patternFill patternType="solid">
        <fgColor rgb="FF22579C"/>
        <bgColor rgb="FF22579C"/>
      </patternFill>
    </fill>
    <fill>
      <patternFill patternType="solid">
        <fgColor rgb="FF1A6B38"/>
        <bgColor rgb="FF1A6B38"/>
      </patternFill>
    </fill>
    <fill>
      <patternFill patternType="solid">
        <fgColor rgb="FF0D2137"/>
        <bgColor rgb="FF0D2137"/>
      </patternFill>
    </fill>
    <fill>
      <patternFill patternType="solid">
        <fgColor rgb="FF1A3C5E"/>
        <bgColor rgb="FF1A3C5E"/>
      </patternFill>
    </fill>
    <fill>
      <patternFill patternType="solid">
        <fgColor rgb="FF4A6FA5"/>
        <bgColor rgb="FF4A6FA5"/>
      </patternFill>
    </fill>
    <fill>
      <patternFill patternType="solid">
        <fgColor rgb="FFD9E8F5"/>
        <bgColor rgb="FFD9E8F5"/>
      </patternFill>
    </fill>
    <fill>
      <patternFill patternType="solid">
        <fgColor rgb="FFF5F9FC"/>
        <bgColor rgb="FFF5F9FC"/>
      </patternFill>
    </fill>
    <fill>
      <patternFill patternType="solid">
        <fgColor rgb="FFE8F5E9"/>
        <bgColor rgb="FFE8F5E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2E4A1E"/>
        <bgColor rgb="FF2E4A1E"/>
      </patternFill>
    </fill>
    <fill>
      <patternFill patternType="solid">
        <fgColor rgb="FFFF0000"/>
        <bgColor rgb="FFFF0000"/>
      </patternFill>
    </fill>
    <fill>
      <patternFill patternType="solid">
        <fgColor rgb="FF4A1E1E"/>
        <bgColor rgb="FF4A1E1E"/>
      </patternFill>
    </fill>
    <fill>
      <patternFill patternType="solid">
        <fgColor rgb="FF1E3A4A"/>
        <bgColor rgb="FF1E3A4A"/>
      </patternFill>
    </fill>
    <fill>
      <patternFill patternType="solid">
        <fgColor rgb="FF3A1E4A"/>
        <bgColor rgb="FF3A1E4A"/>
      </patternFill>
    </fill>
    <fill>
      <patternFill patternType="solid">
        <fgColor rgb="FF1E4A3A"/>
        <bgColor rgb="FF1E4A3A"/>
      </patternFill>
    </fill>
    <fill>
      <patternFill patternType="solid">
        <fgColor rgb="FF3A3A1A"/>
        <bgColor rgb="FF3A3A1A"/>
      </patternFill>
    </fill>
    <fill>
      <patternFill patternType="solid">
        <fgColor rgb="FF3A1A1A"/>
        <bgColor rgb="FF3A1A1A"/>
      </patternFill>
    </fill>
    <fill>
      <patternFill patternType="solid">
        <fgColor rgb="FFC27BA0"/>
        <bgColor rgb="FFC27BA0"/>
      </patternFill>
    </fill>
    <fill>
      <patternFill patternType="solid">
        <fgColor rgb="FF13202A"/>
        <bgColor rgb="FF13202A"/>
      </patternFill>
    </fill>
    <fill>
      <patternFill patternType="solid">
        <fgColor rgb="FFE9EBF0"/>
        <bgColor rgb="FFE9EBF0"/>
      </patternFill>
    </fill>
    <fill>
      <patternFill patternType="solid">
        <fgColor rgb="FF3170A4"/>
        <bgColor rgb="FF3170A4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F0F4F7"/>
        <bgColor rgb="FFF0F4F7"/>
      </patternFill>
    </fill>
    <fill>
      <patternFill patternType="solid">
        <fgColor rgb="FFEAF4F4"/>
        <bgColor rgb="FFEAF4F4"/>
      </patternFill>
    </fill>
    <fill>
      <patternFill patternType="solid">
        <fgColor rgb="FFD1F2EB"/>
        <bgColor rgb="FFD1F2EB"/>
      </patternFill>
    </fill>
    <fill>
      <patternFill patternType="solid">
        <fgColor rgb="FFFEF9E7"/>
        <bgColor rgb="FFFEF9E7"/>
      </patternFill>
    </fill>
    <fill>
      <patternFill patternType="solid">
        <fgColor rgb="FFFEF3CD"/>
        <bgColor rgb="FFFEF3CD"/>
      </patternFill>
    </fill>
    <fill>
      <patternFill patternType="solid">
        <fgColor rgb="FFF5EEF8"/>
        <bgColor rgb="FFF5EEF8"/>
      </patternFill>
    </fill>
    <fill>
      <patternFill patternType="solid">
        <fgColor rgb="FFEAD9F5"/>
        <bgColor rgb="FFEAD9F5"/>
      </patternFill>
    </fill>
    <fill>
      <patternFill patternType="solid">
        <fgColor rgb="FFFDFEFE"/>
        <bgColor rgb="FFFDFEFE"/>
      </patternFill>
    </fill>
    <fill>
      <patternFill patternType="solid">
        <fgColor rgb="FFF0FAF0"/>
        <bgColor rgb="FFF0FAF0"/>
      </patternFill>
    </fill>
    <fill>
      <patternFill patternType="solid">
        <fgColor rgb="FFE0F5E0"/>
        <bgColor rgb="FFE0F5E0"/>
      </patternFill>
    </fill>
    <fill>
      <patternFill patternType="solid">
        <fgColor rgb="FF2471A3"/>
        <bgColor rgb="FF2471A3"/>
      </patternFill>
    </fill>
    <fill>
      <patternFill patternType="solid">
        <fgColor rgb="FF1B6B8A"/>
        <bgColor rgb="FF1B6B8A"/>
      </patternFill>
    </fill>
    <fill>
      <patternFill patternType="solid">
        <fgColor rgb="FF217A50"/>
        <bgColor rgb="FF217A50"/>
      </patternFill>
    </fill>
    <fill>
      <patternFill patternType="solid">
        <fgColor rgb="FF892707"/>
        <bgColor rgb="FF892707"/>
      </patternFill>
    </fill>
    <fill>
      <patternFill patternType="solid">
        <fgColor rgb="FF6C3A8A"/>
        <bgColor rgb="FF6C3A8A"/>
      </patternFill>
    </fill>
  </fills>
  <borders count="3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314453"/>
      </left>
      <right style="thin">
        <color rgb="FF314453"/>
      </right>
      <top style="thin">
        <color rgb="FF314453"/>
      </top>
      <bottom style="thin">
        <color rgb="FF314453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D9D9D9"/>
      </bottom>
    </border>
    <border>
      <left/>
      <right/>
      <bottom style="thin">
        <color rgb="FFD9D9D9"/>
      </bottom>
    </border>
    <border>
      <left/>
      <right/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medium">
        <color rgb="FF888888"/>
      </top>
      <bottom style="thin">
        <color rgb="FFB0B0B0"/>
      </bottom>
    </border>
    <border>
      <left style="thin">
        <color rgb="FFB0B0B0"/>
      </left>
      <top style="medium">
        <color rgb="FF888888"/>
      </top>
      <bottom style="thin">
        <color rgb="FFB0B0B0"/>
      </bottom>
    </border>
    <border>
      <top style="medium">
        <color rgb="FF888888"/>
      </top>
      <bottom style="thin">
        <color rgb="FFB0B0B0"/>
      </bottom>
    </border>
    <border>
      <right style="thin">
        <color rgb="FFB0B0B0"/>
      </right>
      <top style="medium">
        <color rgb="FF888888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bottom style="thin">
        <color rgb="FFB0B0B0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right style="thin">
        <color rgb="FFD0D5DD"/>
      </right>
      <bottom style="thin">
        <color rgb="FFD0D5DD"/>
      </bottom>
    </border>
    <border>
      <left style="thin">
        <color rgb="FFB0B0B0"/>
      </left>
      <right style="thin">
        <color rgb="FFB0B0B0"/>
      </right>
    </border>
    <border>
      <left style="thin">
        <color rgb="FFB0B0B0"/>
      </left>
      <bottom style="thin">
        <color rgb="FFB0B0B0"/>
      </bottom>
    </border>
    <border>
      <bottom style="thin">
        <color rgb="FFB0B0B0"/>
      </bottom>
    </border>
    <border>
      <right style="thin">
        <color rgb="FFB0B0B0"/>
      </right>
      <bottom style="thin">
        <color rgb="FFB0B0B0"/>
      </bottom>
    </border>
    <border>
      <left style="thin">
        <color rgb="FFB0B0B0"/>
      </left>
      <top style="thin">
        <color rgb="FFB0B0B0"/>
      </top>
    </border>
    <border>
      <top style="thin">
        <color rgb="FFB0B0B0"/>
      </top>
    </border>
    <border>
      <right style="thin">
        <color rgb="FFB0B0B0"/>
      </right>
      <top style="thin">
        <color rgb="FFB0B0B0"/>
      </top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medium">
        <color rgb="FF8B8B8B"/>
      </left>
      <right style="medium">
        <color rgb="FF8B8B8B"/>
      </right>
      <top style="thin">
        <color rgb="FFCCCCCC"/>
      </top>
      <bottom style="thin">
        <color rgb="FFCCCCCC"/>
      </bottom>
    </border>
    <border>
      <left style="medium">
        <color rgb="FF8B8B8B"/>
      </left>
      <top style="thin">
        <color rgb="FFCCCCCC"/>
      </top>
      <bottom style="thin">
        <color rgb="FFCCCCCC"/>
      </bottom>
    </border>
    <border>
      <right style="medium">
        <color rgb="FF8B8B8B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3" fillId="3" fontId="2" numFmtId="0" xfId="0" applyAlignment="1" applyBorder="1" applyFill="1" applyFont="1">
      <alignment horizontal="center" shrinkToFit="0" vertical="center" wrapText="0"/>
    </xf>
    <xf borderId="3" fillId="3" fontId="2" numFmtId="0" xfId="0" applyAlignment="1" applyBorder="1" applyFont="1">
      <alignment horizontal="left" shrinkToFit="0" vertical="center" wrapText="0"/>
    </xf>
    <xf borderId="1" fillId="4" fontId="3" numFmtId="0" xfId="0" applyAlignment="1" applyBorder="1" applyFill="1" applyFont="1">
      <alignment horizontal="left" shrinkToFit="0" vertical="center" wrapText="0"/>
    </xf>
    <xf borderId="2" fillId="4" fontId="4" numFmtId="0" xfId="0" applyAlignment="1" applyBorder="1" applyFont="1">
      <alignment shrinkToFit="0" vertical="bottom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ont="1">
      <alignment horizontal="left" shrinkToFit="0" vertical="center" wrapText="0"/>
    </xf>
    <xf borderId="4" fillId="5" fontId="5" numFmtId="4" xfId="0" applyAlignment="1" applyBorder="1" applyFont="1" applyNumberFormat="1">
      <alignment horizontal="center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0"/>
    </xf>
    <xf borderId="4" fillId="5" fontId="5" numFmtId="165" xfId="0" applyAlignment="1" applyBorder="1" applyFont="1" applyNumberFormat="1">
      <alignment horizontal="center" shrinkToFit="0" vertical="center" wrapText="0"/>
    </xf>
    <xf borderId="4" fillId="6" fontId="5" numFmtId="0" xfId="0" applyAlignment="1" applyBorder="1" applyFill="1" applyFont="1">
      <alignment horizontal="center" shrinkToFit="0" vertical="center" wrapText="0"/>
    </xf>
    <xf borderId="4" fillId="6" fontId="5" numFmtId="0" xfId="0" applyAlignment="1" applyBorder="1" applyFont="1">
      <alignment horizontal="left" shrinkToFit="0" vertical="center" wrapText="0"/>
    </xf>
    <xf borderId="4" fillId="6" fontId="5" numFmtId="4" xfId="0" applyAlignment="1" applyBorder="1" applyFont="1" applyNumberFormat="1">
      <alignment horizontal="center" shrinkToFit="0" vertical="center" wrapText="0"/>
    </xf>
    <xf borderId="4" fillId="6" fontId="5" numFmtId="164" xfId="0" applyAlignment="1" applyBorder="1" applyFont="1" applyNumberFormat="1">
      <alignment horizontal="center" shrinkToFit="0" vertical="center" wrapText="0"/>
    </xf>
    <xf borderId="4" fillId="6" fontId="5" numFmtId="165" xfId="0" applyAlignment="1" applyBorder="1" applyFont="1" applyNumberFormat="1">
      <alignment horizontal="center" shrinkToFit="0" vertical="center" wrapText="0"/>
    </xf>
    <xf borderId="1" fillId="7" fontId="3" numFmtId="0" xfId="0" applyAlignment="1" applyBorder="1" applyFill="1" applyFont="1">
      <alignment horizontal="left" shrinkToFit="0" vertical="center" wrapText="0"/>
    </xf>
    <xf borderId="2" fillId="7" fontId="4" numFmtId="0" xfId="0" applyAlignment="1" applyBorder="1" applyFont="1">
      <alignment shrinkToFit="0" vertical="bottom" wrapText="0"/>
    </xf>
    <xf borderId="4" fillId="8" fontId="5" numFmtId="0" xfId="0" applyAlignment="1" applyBorder="1" applyFill="1" applyFont="1">
      <alignment horizontal="center" shrinkToFit="0" vertical="center" wrapText="0"/>
    </xf>
    <xf borderId="4" fillId="8" fontId="5" numFmtId="0" xfId="0" applyAlignment="1" applyBorder="1" applyFont="1">
      <alignment horizontal="left" shrinkToFit="0" vertical="center" wrapText="0"/>
    </xf>
    <xf borderId="4" fillId="8" fontId="5" numFmtId="4" xfId="0" applyAlignment="1" applyBorder="1" applyFont="1" applyNumberFormat="1">
      <alignment horizontal="center" shrinkToFit="0" vertical="center" wrapText="0"/>
    </xf>
    <xf borderId="4" fillId="8" fontId="5" numFmtId="164" xfId="0" applyAlignment="1" applyBorder="1" applyFont="1" applyNumberFormat="1">
      <alignment horizontal="center" shrinkToFit="0" vertical="center" wrapText="0"/>
    </xf>
    <xf borderId="4" fillId="8" fontId="5" numFmtId="165" xfId="0" applyAlignment="1" applyBorder="1" applyFont="1" applyNumberFormat="1">
      <alignment horizontal="center" shrinkToFit="0" vertical="center" wrapText="0"/>
    </xf>
    <xf borderId="4" fillId="9" fontId="5" numFmtId="0" xfId="0" applyAlignment="1" applyBorder="1" applyFill="1" applyFont="1">
      <alignment horizontal="center" shrinkToFit="0" vertical="center" wrapText="0"/>
    </xf>
    <xf borderId="4" fillId="9" fontId="5" numFmtId="0" xfId="0" applyAlignment="1" applyBorder="1" applyFont="1">
      <alignment horizontal="left" shrinkToFit="0" vertical="center" wrapText="0"/>
    </xf>
    <xf borderId="4" fillId="9" fontId="5" numFmtId="4" xfId="0" applyAlignment="1" applyBorder="1" applyFont="1" applyNumberFormat="1">
      <alignment horizontal="center" shrinkToFit="0" vertical="center" wrapText="0"/>
    </xf>
    <xf borderId="4" fillId="9" fontId="5" numFmtId="164" xfId="0" applyAlignment="1" applyBorder="1" applyFont="1" applyNumberFormat="1">
      <alignment horizontal="center" shrinkToFit="0" vertical="center" wrapText="0"/>
    </xf>
    <xf borderId="4" fillId="9" fontId="5" numFmtId="165" xfId="0" applyAlignment="1" applyBorder="1" applyFont="1" applyNumberFormat="1">
      <alignment horizontal="center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2" fillId="2" fontId="4" numFmtId="0" xfId="0" applyAlignment="1" applyBorder="1" applyFont="1">
      <alignment shrinkToFit="0" vertical="bottom" wrapText="0"/>
    </xf>
    <xf borderId="4" fillId="10" fontId="5" numFmtId="0" xfId="0" applyAlignment="1" applyBorder="1" applyFill="1" applyFont="1">
      <alignment horizontal="center" shrinkToFit="0" vertical="center" wrapText="0"/>
    </xf>
    <xf borderId="4" fillId="10" fontId="5" numFmtId="0" xfId="0" applyAlignment="1" applyBorder="1" applyFont="1">
      <alignment horizontal="left" shrinkToFit="0" vertical="center" wrapText="0"/>
    </xf>
    <xf borderId="4" fillId="10" fontId="5" numFmtId="4" xfId="0" applyAlignment="1" applyBorder="1" applyFont="1" applyNumberFormat="1">
      <alignment horizontal="center" shrinkToFit="0" vertical="center" wrapText="0"/>
    </xf>
    <xf borderId="4" fillId="10" fontId="5" numFmtId="164" xfId="0" applyAlignment="1" applyBorder="1" applyFont="1" applyNumberFormat="1">
      <alignment horizontal="center" shrinkToFit="0" vertical="center" wrapText="0"/>
    </xf>
    <xf borderId="4" fillId="10" fontId="5" numFmtId="165" xfId="0" applyAlignment="1" applyBorder="1" applyFont="1" applyNumberFormat="1">
      <alignment horizontal="center" shrinkToFit="0" vertical="center" wrapText="0"/>
    </xf>
    <xf borderId="4" fillId="11" fontId="5" numFmtId="0" xfId="0" applyAlignment="1" applyBorder="1" applyFill="1" applyFont="1">
      <alignment horizontal="center" shrinkToFit="0" vertical="center" wrapText="0"/>
    </xf>
    <xf borderId="4" fillId="11" fontId="5" numFmtId="0" xfId="0" applyAlignment="1" applyBorder="1" applyFont="1">
      <alignment horizontal="left" shrinkToFit="0" vertical="center" wrapText="0"/>
    </xf>
    <xf borderId="4" fillId="11" fontId="5" numFmtId="4" xfId="0" applyAlignment="1" applyBorder="1" applyFont="1" applyNumberFormat="1">
      <alignment horizontal="center" shrinkToFit="0" vertical="center" wrapText="0"/>
    </xf>
    <xf borderId="4" fillId="11" fontId="5" numFmtId="164" xfId="0" applyAlignment="1" applyBorder="1" applyFont="1" applyNumberFormat="1">
      <alignment horizontal="center" shrinkToFit="0" vertical="center" wrapText="0"/>
    </xf>
    <xf borderId="4" fillId="11" fontId="5" numFmtId="165" xfId="0" applyAlignment="1" applyBorder="1" applyFont="1" applyNumberFormat="1">
      <alignment horizontal="center" shrinkToFit="0" vertical="center" wrapText="0"/>
    </xf>
    <xf borderId="1" fillId="12" fontId="3" numFmtId="0" xfId="0" applyAlignment="1" applyBorder="1" applyFill="1" applyFont="1">
      <alignment horizontal="left" shrinkToFit="0" vertical="center" wrapText="0"/>
    </xf>
    <xf borderId="2" fillId="12" fontId="4" numFmtId="0" xfId="0" applyAlignment="1" applyBorder="1" applyFont="1">
      <alignment shrinkToFit="0" vertical="bottom" wrapText="0"/>
    </xf>
    <xf borderId="4" fillId="13" fontId="5" numFmtId="0" xfId="0" applyAlignment="1" applyBorder="1" applyFill="1" applyFont="1">
      <alignment horizontal="center" shrinkToFit="0" vertical="center" wrapText="0"/>
    </xf>
    <xf borderId="4" fillId="13" fontId="5" numFmtId="0" xfId="0" applyAlignment="1" applyBorder="1" applyFont="1">
      <alignment horizontal="left" shrinkToFit="0" vertical="center" wrapText="0"/>
    </xf>
    <xf borderId="4" fillId="13" fontId="5" numFmtId="4" xfId="0" applyAlignment="1" applyBorder="1" applyFont="1" applyNumberFormat="1">
      <alignment horizontal="center" shrinkToFit="0" vertical="center" wrapText="0"/>
    </xf>
    <xf borderId="4" fillId="13" fontId="5" numFmtId="164" xfId="0" applyAlignment="1" applyBorder="1" applyFont="1" applyNumberFormat="1">
      <alignment horizontal="center" shrinkToFit="0" vertical="center" wrapText="0"/>
    </xf>
    <xf borderId="4" fillId="13" fontId="5" numFmtId="165" xfId="0" applyAlignment="1" applyBorder="1" applyFont="1" applyNumberFormat="1">
      <alignment horizontal="center" shrinkToFit="0" vertical="center" wrapText="0"/>
    </xf>
    <xf borderId="4" fillId="14" fontId="5" numFmtId="0" xfId="0" applyAlignment="1" applyBorder="1" applyFill="1" applyFont="1">
      <alignment horizontal="center" shrinkToFit="0" vertical="center" wrapText="0"/>
    </xf>
    <xf borderId="4" fillId="14" fontId="5" numFmtId="0" xfId="0" applyAlignment="1" applyBorder="1" applyFont="1">
      <alignment horizontal="left" shrinkToFit="0" vertical="center" wrapText="0"/>
    </xf>
    <xf borderId="4" fillId="14" fontId="5" numFmtId="4" xfId="0" applyAlignment="1" applyBorder="1" applyFont="1" applyNumberFormat="1">
      <alignment horizontal="center" shrinkToFit="0" vertical="center" wrapText="0"/>
    </xf>
    <xf borderId="4" fillId="14" fontId="5" numFmtId="164" xfId="0" applyAlignment="1" applyBorder="1" applyFont="1" applyNumberFormat="1">
      <alignment horizontal="center" shrinkToFit="0" vertical="center" wrapText="0"/>
    </xf>
    <xf borderId="4" fillId="14" fontId="5" numFmtId="165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5" fillId="2" fontId="7" numFmtId="0" xfId="0" applyAlignment="1" applyBorder="1" applyFont="1">
      <alignment horizontal="center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8" fontId="9" numFmtId="0" xfId="0" applyAlignment="1" applyBorder="1" applyFont="1">
      <alignment horizontal="left" shrinkToFit="0" vertical="center" wrapText="0"/>
    </xf>
    <xf borderId="5" fillId="2" fontId="3" numFmtId="0" xfId="0" applyAlignment="1" applyBorder="1" applyFont="1">
      <alignment horizontal="center" shrinkToFit="0" vertical="center" wrapText="0"/>
    </xf>
    <xf borderId="5" fillId="12" fontId="4" numFmtId="0" xfId="0" applyAlignment="1" applyBorder="1" applyFont="1">
      <alignment horizontal="left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1" fillId="3" fontId="10" numFmtId="0" xfId="0" applyAlignment="1" applyBorder="1" applyFont="1">
      <alignment horizontal="center" shrinkToFit="0" vertical="center" wrapText="0"/>
    </xf>
    <xf borderId="1" fillId="15" fontId="6" numFmtId="0" xfId="0" applyAlignment="1" applyBorder="1" applyFill="1" applyFont="1">
      <alignment horizontal="center" shrinkToFit="0" vertical="center" wrapText="0"/>
    </xf>
    <xf borderId="1" fillId="15" fontId="6" numFmtId="0" xfId="0" applyAlignment="1" applyBorder="1" applyFont="1">
      <alignment horizontal="left" readingOrder="0" shrinkToFit="0" vertical="center" wrapText="0"/>
    </xf>
    <xf borderId="1" fillId="15" fontId="11" numFmtId="0" xfId="0" applyAlignment="1" applyBorder="1" applyFont="1">
      <alignment horizontal="left" shrinkToFit="0" vertical="center" wrapText="1"/>
    </xf>
    <xf borderId="1" fillId="15" fontId="6" numFmtId="3" xfId="0" applyAlignment="1" applyBorder="1" applyFont="1" applyNumberFormat="1">
      <alignment horizontal="center" readingOrder="0" shrinkToFit="0" vertical="center" wrapText="0"/>
    </xf>
    <xf borderId="1" fillId="15" fontId="11" numFmtId="0" xfId="0" applyAlignment="1" applyBorder="1" applyFont="1">
      <alignment horizontal="center" shrinkToFit="0" vertical="center" wrapText="0"/>
    </xf>
    <xf borderId="1" fillId="16" fontId="6" numFmtId="0" xfId="0" applyAlignment="1" applyBorder="1" applyFill="1" applyFont="1">
      <alignment horizontal="center" shrinkToFit="0" vertical="center" wrapText="0"/>
    </xf>
    <xf borderId="1" fillId="16" fontId="6" numFmtId="0" xfId="0" applyAlignment="1" applyBorder="1" applyFont="1">
      <alignment horizontal="left" readingOrder="0" shrinkToFit="0" vertical="center" wrapText="0"/>
    </xf>
    <xf borderId="1" fillId="16" fontId="11" numFmtId="0" xfId="0" applyAlignment="1" applyBorder="1" applyFont="1">
      <alignment horizontal="left" shrinkToFit="0" vertical="center" wrapText="1"/>
    </xf>
    <xf borderId="1" fillId="16" fontId="6" numFmtId="3" xfId="0" applyAlignment="1" applyBorder="1" applyFont="1" applyNumberFormat="1">
      <alignment horizontal="center" readingOrder="0" shrinkToFit="0" vertical="center" wrapText="0"/>
    </xf>
    <xf borderId="1" fillId="16" fontId="11" numFmtId="0" xfId="0" applyAlignment="1" applyBorder="1" applyFont="1">
      <alignment horizontal="center" shrinkToFit="0" vertical="center" wrapText="0"/>
    </xf>
    <xf borderId="8" fillId="15" fontId="11" numFmtId="0" xfId="0" applyAlignment="1" applyBorder="1" applyFont="1">
      <alignment horizontal="left" shrinkToFit="0" vertical="center" wrapText="1"/>
    </xf>
    <xf borderId="2" fillId="16" fontId="6" numFmtId="0" xfId="0" applyAlignment="1" applyBorder="1" applyFont="1">
      <alignment horizontal="left" readingOrder="0" shrinkToFit="0" vertical="center" wrapText="0"/>
    </xf>
    <xf borderId="9" fillId="16" fontId="11" numFmtId="0" xfId="0" applyAlignment="1" applyBorder="1" applyFont="1">
      <alignment horizontal="left" shrinkToFit="0" vertical="center" wrapText="0"/>
    </xf>
    <xf borderId="2" fillId="16" fontId="6" numFmtId="0" xfId="0" applyAlignment="1" applyBorder="1" applyFont="1">
      <alignment horizontal="center" readingOrder="0" shrinkToFit="0" vertical="center" wrapText="0"/>
    </xf>
    <xf borderId="2" fillId="16" fontId="6" numFmtId="0" xfId="0" applyAlignment="1" applyBorder="1" applyFont="1">
      <alignment horizontal="center" shrinkToFit="0" vertical="center" wrapText="0"/>
    </xf>
    <xf borderId="2" fillId="16" fontId="11" numFmtId="0" xfId="0" applyAlignment="1" applyBorder="1" applyFont="1">
      <alignment horizontal="center" shrinkToFit="0" vertical="center" wrapText="0"/>
    </xf>
    <xf borderId="2" fillId="16" fontId="11" numFmtId="0" xfId="0" applyAlignment="1" applyBorder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10" fillId="15" fontId="11" numFmtId="0" xfId="0" applyAlignment="1" applyBorder="1" applyFont="1">
      <alignment horizontal="left" shrinkToFit="0" vertical="center" wrapText="0"/>
    </xf>
    <xf borderId="2" fillId="15" fontId="6" numFmtId="0" xfId="0" applyAlignment="1" applyBorder="1" applyFont="1">
      <alignment horizontal="center" readingOrder="0" shrinkToFit="0" vertical="center" wrapText="0"/>
    </xf>
    <xf borderId="2" fillId="15" fontId="6" numFmtId="0" xfId="0" applyAlignment="1" applyBorder="1" applyFont="1">
      <alignment horizontal="center" shrinkToFit="0" vertical="center" wrapText="0"/>
    </xf>
    <xf borderId="2" fillId="15" fontId="11" numFmtId="0" xfId="0" applyAlignment="1" applyBorder="1" applyFont="1">
      <alignment horizontal="center" shrinkToFit="0" vertical="center" wrapText="0"/>
    </xf>
    <xf borderId="2" fillId="15" fontId="11" numFmtId="0" xfId="0" applyAlignment="1" applyBorder="1" applyFont="1">
      <alignment shrinkToFit="0" vertical="bottom" wrapText="0"/>
    </xf>
    <xf borderId="1" fillId="16" fontId="11" numFmtId="0" xfId="0" applyAlignment="1" applyBorder="1" applyFont="1">
      <alignment horizontal="left" shrinkToFit="0" vertical="center" wrapText="0"/>
    </xf>
    <xf borderId="1" fillId="16" fontId="6" numFmtId="0" xfId="0" applyAlignment="1" applyBorder="1" applyFont="1">
      <alignment horizontal="center" readingOrder="0" shrinkToFit="0" vertical="center" wrapText="0"/>
    </xf>
    <xf borderId="1" fillId="15" fontId="11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5" fillId="17" fontId="4" numFmtId="0" xfId="0" applyAlignment="1" applyBorder="1" applyFill="1" applyFont="1">
      <alignment horizontal="left" shrinkToFit="0" vertical="center" wrapText="0"/>
    </xf>
    <xf borderId="1" fillId="3" fontId="10" numFmtId="3" xfId="0" applyAlignment="1" applyBorder="1" applyFont="1" applyNumberFormat="1">
      <alignment horizontal="center" shrinkToFit="0" vertical="center" wrapText="0"/>
    </xf>
    <xf borderId="1" fillId="16" fontId="6" numFmtId="0" xfId="0" applyAlignment="1" applyBorder="1" applyFont="1">
      <alignment horizontal="left" shrinkToFit="0" vertical="center" wrapText="0"/>
    </xf>
    <xf borderId="1" fillId="15" fontId="6" numFmtId="0" xfId="0" applyAlignment="1" applyBorder="1" applyFont="1">
      <alignment horizontal="left" shrinkToFit="0" vertical="center" wrapText="0"/>
    </xf>
    <xf borderId="1" fillId="15" fontId="13" numFmtId="0" xfId="0" applyBorder="1" applyFont="1"/>
    <xf borderId="1" fillId="15" fontId="14" numFmtId="0" xfId="0" applyBorder="1" applyFont="1"/>
    <xf borderId="1" fillId="15" fontId="15" numFmtId="3" xfId="0" applyAlignment="1" applyBorder="1" applyFont="1" applyNumberFormat="1">
      <alignment horizontal="center"/>
    </xf>
    <xf borderId="1" fillId="15" fontId="13" numFmtId="0" xfId="0" applyAlignment="1" applyBorder="1" applyFont="1">
      <alignment horizontal="center"/>
    </xf>
    <xf borderId="1" fillId="15" fontId="14" numFmtId="0" xfId="0" applyAlignment="1" applyBorder="1" applyFont="1">
      <alignment horizontal="center"/>
    </xf>
    <xf borderId="0" fillId="0" fontId="13" numFmtId="0" xfId="0" applyAlignment="1" applyFont="1">
      <alignment vertical="bottom"/>
    </xf>
    <xf borderId="2" fillId="15" fontId="13" numFmtId="0" xfId="0" applyBorder="1" applyFont="1"/>
    <xf borderId="2" fillId="15" fontId="14" numFmtId="0" xfId="0" applyBorder="1" applyFont="1"/>
    <xf borderId="2" fillId="15" fontId="15" numFmtId="0" xfId="0" applyAlignment="1" applyBorder="1" applyFont="1">
      <alignment horizontal="center"/>
    </xf>
    <xf borderId="2" fillId="15" fontId="13" numFmtId="0" xfId="0" applyAlignment="1" applyBorder="1" applyFont="1">
      <alignment horizontal="center"/>
    </xf>
    <xf borderId="2" fillId="15" fontId="14" numFmtId="0" xfId="0" applyAlignment="1" applyBorder="1" applyFont="1">
      <alignment horizontal="center"/>
    </xf>
    <xf borderId="0" fillId="0" fontId="13" numFmtId="0" xfId="0" applyFont="1"/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0" fontId="6" numFmtId="3" xfId="0" applyAlignment="1" applyBorder="1" applyFont="1" applyNumberFormat="1">
      <alignment horizontal="center" shrinkToFit="0" vertical="center" wrapText="0"/>
    </xf>
    <xf borderId="5" fillId="7" fontId="4" numFmtId="0" xfId="0" applyAlignment="1" applyBorder="1" applyFont="1">
      <alignment horizontal="left" shrinkToFit="0" vertical="center" wrapText="0"/>
    </xf>
    <xf borderId="11" fillId="15" fontId="6" numFmtId="0" xfId="0" applyAlignment="1" applyBorder="1" applyFont="1">
      <alignment horizontal="left" shrinkToFit="0" vertical="center" wrapText="0"/>
    </xf>
    <xf borderId="11" fillId="15" fontId="11" numFmtId="0" xfId="0" applyAlignment="1" applyBorder="1" applyFont="1">
      <alignment horizontal="left" shrinkToFit="0" vertical="center" wrapText="0"/>
    </xf>
    <xf borderId="11" fillId="15" fontId="6" numFmtId="0" xfId="0" applyAlignment="1" applyBorder="1" applyFont="1">
      <alignment horizontal="center" readingOrder="0" shrinkToFit="0" vertical="center" wrapText="0"/>
    </xf>
    <xf borderId="11" fillId="15" fontId="6" numFmtId="0" xfId="0" applyAlignment="1" applyBorder="1" applyFont="1">
      <alignment horizontal="center" shrinkToFit="0" vertical="center" wrapText="0"/>
    </xf>
    <xf borderId="11" fillId="15" fontId="11" numFmtId="0" xfId="0" applyAlignment="1" applyBorder="1" applyFont="1">
      <alignment horizontal="center" shrinkToFit="0" vertical="center" wrapText="0"/>
    </xf>
    <xf borderId="12" fillId="15" fontId="11" numFmtId="0" xfId="0" applyAlignment="1" applyBorder="1" applyFont="1">
      <alignment shrinkToFit="0" vertical="center" wrapText="0"/>
    </xf>
    <xf borderId="2" fillId="16" fontId="6" numFmtId="0" xfId="0" applyAlignment="1" applyBorder="1" applyFont="1">
      <alignment horizontal="left" readingOrder="0" shrinkToFit="0" vertical="bottom" wrapText="0"/>
    </xf>
    <xf borderId="2" fillId="16" fontId="11" numFmtId="0" xfId="0" applyAlignment="1" applyBorder="1" applyFont="1">
      <alignment horizontal="left" shrinkToFit="0" vertical="bottom" wrapText="0"/>
    </xf>
    <xf borderId="2" fillId="16" fontId="11" numFmtId="0" xfId="0" applyAlignment="1" applyBorder="1" applyFont="1">
      <alignment shrinkToFit="0" vertical="bottom" wrapText="0"/>
    </xf>
    <xf borderId="2" fillId="15" fontId="6" numFmtId="0" xfId="0" applyAlignment="1" applyBorder="1" applyFont="1">
      <alignment horizontal="left" readingOrder="0" shrinkToFit="0" vertical="center" wrapText="0"/>
    </xf>
    <xf borderId="2" fillId="15" fontId="11" numFmtId="0" xfId="0" applyAlignment="1" applyBorder="1" applyFont="1">
      <alignment horizontal="left" shrinkToFit="0" vertical="center" wrapText="0"/>
    </xf>
    <xf borderId="2" fillId="15" fontId="11" numFmtId="0" xfId="0" applyAlignment="1" applyBorder="1" applyFont="1">
      <alignment shrinkToFit="0" vertical="center" wrapText="0"/>
    </xf>
    <xf borderId="2" fillId="16" fontId="6" numFmtId="0" xfId="0" applyAlignment="1" applyBorder="1" applyFont="1">
      <alignment horizontal="left" shrinkToFit="0" vertical="bottom" wrapText="0"/>
    </xf>
    <xf borderId="2" fillId="15" fontId="6" numFmtId="0" xfId="0" applyAlignment="1" applyBorder="1" applyFont="1">
      <alignment horizontal="left" shrinkToFit="0" vertical="center" wrapText="0"/>
    </xf>
    <xf borderId="2" fillId="15" fontId="6" numFmtId="0" xfId="0" applyAlignment="1" applyBorder="1" applyFont="1">
      <alignment horizontal="left" readingOrder="0" shrinkToFit="0" vertical="bottom" wrapText="0"/>
    </xf>
    <xf borderId="2" fillId="15" fontId="11" numFmtId="0" xfId="0" applyAlignment="1" applyBorder="1" applyFont="1">
      <alignment horizontal="left" shrinkToFit="0" vertical="bottom" wrapText="0"/>
    </xf>
    <xf borderId="1" fillId="16" fontId="11" numFmtId="0" xfId="0" applyAlignment="1" applyBorder="1" applyFont="1">
      <alignment horizontal="center" readingOrder="0" shrinkToFit="0" vertical="center" wrapText="0"/>
    </xf>
    <xf borderId="5" fillId="2" fontId="4" numFmtId="0" xfId="0" applyAlignment="1" applyBorder="1" applyFont="1">
      <alignment horizontal="left" shrinkToFit="0" vertical="center" wrapText="0"/>
    </xf>
    <xf borderId="1" fillId="3" fontId="10" numFmtId="49" xfId="0" applyAlignment="1" applyBorder="1" applyFont="1" applyNumberFormat="1">
      <alignment horizontal="center" shrinkToFit="0" vertical="center" wrapText="0"/>
    </xf>
    <xf borderId="11" fillId="16" fontId="6" numFmtId="0" xfId="0" applyAlignment="1" applyBorder="1" applyFont="1">
      <alignment horizontal="left" shrinkToFit="0" vertical="center" wrapText="0"/>
    </xf>
    <xf borderId="11" fillId="16" fontId="11" numFmtId="0" xfId="0" applyAlignment="1" applyBorder="1" applyFont="1">
      <alignment horizontal="left" shrinkToFit="0" vertical="center" wrapText="0"/>
    </xf>
    <xf borderId="11" fillId="16" fontId="6" numFmtId="0" xfId="0" applyAlignment="1" applyBorder="1" applyFont="1">
      <alignment horizontal="center" readingOrder="0" shrinkToFit="0" vertical="center" wrapText="0"/>
    </xf>
    <xf borderId="11" fillId="16" fontId="6" numFmtId="0" xfId="0" applyAlignment="1" applyBorder="1" applyFont="1">
      <alignment horizontal="center" shrinkToFit="0" vertical="center" wrapText="0"/>
    </xf>
    <xf borderId="11" fillId="16" fontId="11" numFmtId="0" xfId="0" applyAlignment="1" applyBorder="1" applyFont="1">
      <alignment horizontal="center" shrinkToFit="0" vertical="center" wrapText="0"/>
    </xf>
    <xf borderId="12" fillId="16" fontId="11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readingOrder="0" shrinkToFit="0" vertical="bottom" wrapText="0"/>
    </xf>
    <xf borderId="1" fillId="16" fontId="6" numFmtId="3" xfId="0" applyAlignment="1" applyBorder="1" applyFont="1" applyNumberFormat="1">
      <alignment horizontal="center" shrinkToFit="0" vertical="center" wrapText="0"/>
    </xf>
    <xf borderId="1" fillId="16" fontId="6" numFmtId="0" xfId="0" applyAlignment="1" applyBorder="1" applyFont="1">
      <alignment horizontal="left" shrinkToFit="0" vertical="center" wrapText="1"/>
    </xf>
    <xf borderId="2" fillId="16" fontId="11" numFmtId="0" xfId="0" applyAlignment="1" applyBorder="1" applyFont="1">
      <alignment horizontal="left" shrinkToFit="0" vertical="center" wrapText="0"/>
    </xf>
    <xf borderId="1" fillId="15" fontId="6" numFmtId="0" xfId="0" applyAlignment="1" applyBorder="1" applyFont="1">
      <alignment horizontal="center" readingOrder="0" shrinkToFit="0" vertical="center" wrapText="0"/>
    </xf>
    <xf borderId="1" fillId="15" fontId="6" numFmtId="3" xfId="0" applyAlignment="1" applyBorder="1" applyFont="1" applyNumberForma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left" shrinkToFit="0" vertical="center" wrapText="0"/>
    </xf>
    <xf borderId="2" fillId="3" fontId="10" numFmtId="0" xfId="0" applyAlignment="1" applyBorder="1" applyFont="1">
      <alignment horizontal="center" shrinkToFit="0" vertical="center" wrapText="0"/>
    </xf>
    <xf borderId="2" fillId="15" fontId="6" numFmtId="0" xfId="0" applyAlignment="1" applyBorder="1" applyFont="1">
      <alignment horizontal="left" shrinkToFit="0" vertical="bottom" wrapText="0"/>
    </xf>
    <xf borderId="1" fillId="16" fontId="11" numFmtId="0" xfId="0" applyAlignment="1" applyBorder="1" applyFont="1">
      <alignment horizontal="left" readingOrder="0" shrinkToFit="0" vertical="center" wrapText="1"/>
    </xf>
    <xf borderId="1" fillId="15" fontId="6" numFmtId="0" xfId="0" applyAlignment="1" applyBorder="1" applyFont="1">
      <alignment horizontal="left" shrinkToFit="0" vertical="center" wrapText="1"/>
    </xf>
    <xf borderId="5" fillId="4" fontId="4" numFmtId="0" xfId="0" applyAlignment="1" applyBorder="1" applyFont="1">
      <alignment horizontal="left" shrinkToFit="0" vertical="center" wrapText="0"/>
    </xf>
    <xf borderId="1" fillId="16" fontId="10" numFmtId="3" xfId="0" applyAlignment="1" applyBorder="1" applyFont="1" applyNumberFormat="1">
      <alignment horizontal="center" shrinkToFit="0" vertical="center" wrapText="0"/>
    </xf>
    <xf borderId="12" fillId="15" fontId="11" numFmtId="0" xfId="0" applyAlignment="1" applyBorder="1" applyFont="1">
      <alignment horizontal="center" shrinkToFit="0" vertical="center" wrapText="0"/>
    </xf>
    <xf borderId="1" fillId="16" fontId="16" numFmtId="0" xfId="0" applyAlignment="1" applyBorder="1" applyFont="1">
      <alignment horizontal="left" shrinkToFit="0" vertical="center" wrapText="1"/>
    </xf>
    <xf borderId="5" fillId="18" fontId="4" numFmtId="0" xfId="0" applyAlignment="1" applyBorder="1" applyFill="1" applyFont="1">
      <alignment horizontal="left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0" fillId="0" fontId="12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horizontal="left" shrinkToFit="0" vertical="center" wrapText="0"/>
    </xf>
    <xf borderId="1" fillId="0" fontId="10" numFmtId="3" xfId="0" applyAlignment="1" applyBorder="1" applyFont="1" applyNumberFormat="1">
      <alignment horizontal="center" shrinkToFit="0" vertical="center" wrapText="0"/>
    </xf>
    <xf borderId="1" fillId="0" fontId="17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horizontal="left" shrinkToFit="0" vertical="center" wrapText="0"/>
    </xf>
    <xf borderId="1" fillId="0" fontId="19" numFmtId="0" xfId="0" applyAlignment="1" applyBorder="1" applyFont="1">
      <alignment horizontal="left" shrinkToFit="0" vertical="center" wrapText="1"/>
    </xf>
    <xf borderId="1" fillId="0" fontId="11" numFmtId="3" xfId="0" applyAlignment="1" applyBorder="1" applyFont="1" applyNumberFormat="1">
      <alignment horizontal="center" shrinkToFit="0" vertical="center" wrapText="0"/>
    </xf>
    <xf borderId="1" fillId="0" fontId="20" numFmtId="0" xfId="0" applyAlignment="1" applyBorder="1" applyFont="1">
      <alignment horizontal="center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left" shrinkToFit="0" vertical="center" wrapText="1"/>
    </xf>
    <xf borderId="1" fillId="0" fontId="22" numFmtId="0" xfId="0" applyAlignment="1" applyBorder="1" applyFont="1">
      <alignment horizontal="left" shrinkToFit="0" vertical="center" wrapText="1"/>
    </xf>
    <xf borderId="1" fillId="0" fontId="23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left" shrinkToFit="0" vertical="bottom" wrapText="0"/>
    </xf>
    <xf borderId="6" fillId="0" fontId="6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4" numFmtId="0" xfId="0" applyAlignment="1" applyBorder="1" applyFont="1">
      <alignment horizontal="center" shrinkToFit="0" vertical="center" wrapText="0"/>
    </xf>
    <xf borderId="1" fillId="0" fontId="25" numFmtId="0" xfId="0" applyAlignment="1" applyBorder="1" applyFont="1">
      <alignment horizontal="center" shrinkToFit="0" vertical="center" wrapText="0"/>
    </xf>
    <xf borderId="1" fillId="0" fontId="26" numFmtId="0" xfId="0" applyAlignment="1" applyBorder="1" applyFont="1">
      <alignment horizontal="left" shrinkToFit="0" vertical="center" wrapText="1"/>
    </xf>
    <xf borderId="1" fillId="0" fontId="11" numFmtId="49" xfId="0" applyAlignment="1" applyBorder="1" applyFont="1" applyNumberFormat="1">
      <alignment horizontal="center" shrinkToFit="0" vertical="center" wrapText="0"/>
    </xf>
    <xf borderId="1" fillId="0" fontId="27" numFmtId="0" xfId="0" applyAlignment="1" applyBorder="1" applyFont="1">
      <alignment horizontal="center" shrinkToFit="0" vertical="center" wrapText="0"/>
    </xf>
    <xf borderId="1" fillId="0" fontId="17" numFmtId="0" xfId="0" applyAlignment="1" applyBorder="1" applyFont="1">
      <alignment horizontal="left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28" numFmtId="0" xfId="0" applyAlignment="1" applyBorder="1" applyFont="1">
      <alignment horizontal="center" shrinkToFit="0" vertical="center" wrapText="0"/>
    </xf>
    <xf borderId="1" fillId="0" fontId="22" numFmtId="0" xfId="0" applyAlignment="1" applyBorder="1" applyFont="1">
      <alignment horizontal="left" shrinkToFit="0" vertical="center" wrapText="0"/>
    </xf>
    <xf borderId="13" fillId="19" fontId="29" numFmtId="2" xfId="0" applyAlignment="1" applyBorder="1" applyFill="1" applyFont="1" applyNumberFormat="1">
      <alignment horizontal="center"/>
    </xf>
    <xf borderId="14" fillId="0" fontId="8" numFmtId="0" xfId="0" applyBorder="1" applyFont="1"/>
    <xf borderId="15" fillId="0" fontId="8" numFmtId="0" xfId="0" applyBorder="1" applyFont="1"/>
    <xf borderId="0" fillId="0" fontId="30" numFmtId="2" xfId="0" applyAlignment="1" applyFont="1" applyNumberFormat="1">
      <alignment vertical="bottom"/>
    </xf>
    <xf borderId="0" fillId="0" fontId="30" numFmtId="1" xfId="0" applyAlignment="1" applyFont="1" applyNumberFormat="1">
      <alignment vertical="bottom"/>
    </xf>
    <xf borderId="13" fillId="20" fontId="31" numFmtId="2" xfId="0" applyBorder="1" applyFill="1" applyFont="1" applyNumberFormat="1"/>
    <xf borderId="16" fillId="21" fontId="30" numFmtId="2" xfId="0" applyBorder="1" applyFill="1" applyFont="1" applyNumberFormat="1"/>
    <xf borderId="16" fillId="21" fontId="32" numFmtId="1" xfId="0" applyAlignment="1" applyBorder="1" applyFont="1" applyNumberFormat="1">
      <alignment horizontal="center" shrinkToFit="0" wrapText="1"/>
    </xf>
    <xf borderId="16" fillId="21" fontId="32" numFmtId="2" xfId="0" applyAlignment="1" applyBorder="1" applyFont="1" applyNumberFormat="1">
      <alignment horizontal="center" shrinkToFit="0" wrapText="1"/>
    </xf>
    <xf borderId="16" fillId="21" fontId="32" numFmtId="2" xfId="0" applyAlignment="1" applyBorder="1" applyFont="1" applyNumberFormat="1">
      <alignment horizontal="center" readingOrder="0" shrinkToFit="0" wrapText="1"/>
    </xf>
    <xf borderId="2" fillId="22" fontId="30" numFmtId="2" xfId="0" applyAlignment="1" applyBorder="1" applyFill="1" applyFont="1" applyNumberFormat="1">
      <alignment vertical="bottom"/>
    </xf>
    <xf borderId="17" fillId="22" fontId="33" numFmtId="1" xfId="0" applyAlignment="1" applyBorder="1" applyFont="1" applyNumberFormat="1">
      <alignment horizontal="center"/>
    </xf>
    <xf borderId="18" fillId="22" fontId="33" numFmtId="2" xfId="0" applyBorder="1" applyFont="1" applyNumberFormat="1"/>
    <xf borderId="19" fillId="0" fontId="8" numFmtId="0" xfId="0" applyBorder="1" applyFont="1"/>
    <xf borderId="20" fillId="0" fontId="8" numFmtId="0" xfId="0" applyBorder="1" applyFont="1"/>
    <xf borderId="2" fillId="23" fontId="30" numFmtId="2" xfId="0" applyAlignment="1" applyBorder="1" applyFill="1" applyFont="1" applyNumberFormat="1">
      <alignment vertical="bottom"/>
    </xf>
    <xf borderId="2" fillId="23" fontId="30" numFmtId="1" xfId="0" applyAlignment="1" applyBorder="1" applyFont="1" applyNumberFormat="1">
      <alignment vertical="bottom"/>
    </xf>
    <xf borderId="16" fillId="23" fontId="34" numFmtId="2" xfId="0" applyBorder="1" applyFont="1" applyNumberFormat="1"/>
    <xf borderId="16" fillId="23" fontId="34" numFmtId="2" xfId="0" applyAlignment="1" applyBorder="1" applyFont="1" applyNumberFormat="1">
      <alignment horizontal="right"/>
    </xf>
    <xf borderId="16" fillId="23" fontId="34" numFmtId="2" xfId="0" applyAlignment="1" applyBorder="1" applyFont="1" applyNumberFormat="1">
      <alignment horizontal="center"/>
    </xf>
    <xf borderId="2" fillId="15" fontId="30" numFmtId="2" xfId="0" applyAlignment="1" applyBorder="1" applyFont="1" applyNumberFormat="1">
      <alignment vertical="bottom"/>
    </xf>
    <xf borderId="2" fillId="15" fontId="30" numFmtId="1" xfId="0" applyAlignment="1" applyBorder="1" applyFont="1" applyNumberFormat="1">
      <alignment vertical="bottom"/>
    </xf>
    <xf borderId="16" fillId="15" fontId="34" numFmtId="2" xfId="0" applyBorder="1" applyFont="1" applyNumberFormat="1"/>
    <xf borderId="16" fillId="15" fontId="34" numFmtId="2" xfId="0" applyAlignment="1" applyBorder="1" applyFont="1" applyNumberFormat="1">
      <alignment horizontal="right"/>
    </xf>
    <xf borderId="16" fillId="15" fontId="34" numFmtId="2" xfId="0" applyAlignment="1" applyBorder="1" applyFont="1" applyNumberFormat="1">
      <alignment horizontal="center"/>
    </xf>
    <xf borderId="16" fillId="15" fontId="34" numFmtId="2" xfId="0" applyAlignment="1" applyBorder="1" applyFont="1" applyNumberFormat="1">
      <alignment readingOrder="0"/>
    </xf>
    <xf borderId="16" fillId="15" fontId="34" numFmtId="2" xfId="0" applyAlignment="1" applyBorder="1" applyFont="1" applyNumberFormat="1">
      <alignment horizontal="right" readingOrder="0"/>
    </xf>
    <xf borderId="16" fillId="15" fontId="34" numFmtId="2" xfId="0" applyAlignment="1" applyBorder="1" applyFont="1" applyNumberFormat="1">
      <alignment horizontal="center" readingOrder="0"/>
    </xf>
    <xf borderId="16" fillId="14" fontId="30" numFmtId="2" xfId="0" applyAlignment="1" applyBorder="1" applyFont="1" applyNumberFormat="1">
      <alignment vertical="bottom"/>
    </xf>
    <xf borderId="16" fillId="14" fontId="30" numFmtId="1" xfId="0" applyAlignment="1" applyBorder="1" applyFont="1" applyNumberFormat="1">
      <alignment vertical="bottom"/>
    </xf>
    <xf borderId="21" fillId="14" fontId="35" numFmtId="2" xfId="0" applyAlignment="1" applyBorder="1" applyFont="1" applyNumberFormat="1">
      <alignment horizontal="right"/>
    </xf>
    <xf borderId="22" fillId="0" fontId="8" numFmtId="0" xfId="0" applyBorder="1" applyFont="1"/>
    <xf borderId="23" fillId="0" fontId="8" numFmtId="0" xfId="0" applyBorder="1" applyFont="1"/>
    <xf borderId="16" fillId="14" fontId="36" numFmtId="2" xfId="0" applyAlignment="1" applyBorder="1" applyFont="1" applyNumberFormat="1">
      <alignment horizontal="right"/>
    </xf>
    <xf borderId="16" fillId="24" fontId="30" numFmtId="2" xfId="0" applyAlignment="1" applyBorder="1" applyFill="1" applyFont="1" applyNumberFormat="1">
      <alignment vertical="bottom"/>
    </xf>
    <xf borderId="16" fillId="24" fontId="30" numFmtId="1" xfId="0" applyAlignment="1" applyBorder="1" applyFont="1" applyNumberFormat="1">
      <alignment vertical="bottom"/>
    </xf>
    <xf borderId="21" fillId="24" fontId="37" numFmtId="2" xfId="0" applyAlignment="1" applyBorder="1" applyFont="1" applyNumberFormat="1">
      <alignment horizontal="right"/>
    </xf>
    <xf borderId="16" fillId="24" fontId="30" numFmtId="2" xfId="0" applyBorder="1" applyFont="1" applyNumberFormat="1"/>
    <xf borderId="16" fillId="25" fontId="30" numFmtId="10" xfId="0" applyAlignment="1" applyBorder="1" applyFill="1" applyFont="1" applyNumberFormat="1">
      <alignment vertical="bottom"/>
    </xf>
    <xf borderId="16" fillId="23" fontId="34" numFmtId="2" xfId="0" applyAlignment="1" applyBorder="1" applyFont="1" applyNumberFormat="1">
      <alignment horizontal="right" readingOrder="0"/>
    </xf>
    <xf borderId="16" fillId="24" fontId="30" numFmtId="2" xfId="0" applyAlignment="1" applyBorder="1" applyFont="1" applyNumberFormat="1">
      <alignment readingOrder="0"/>
    </xf>
    <xf borderId="18" fillId="22" fontId="33" numFmtId="2" xfId="0" applyAlignment="1" applyBorder="1" applyFont="1" applyNumberFormat="1">
      <alignment readingOrder="0"/>
    </xf>
    <xf borderId="16" fillId="26" fontId="34" numFmtId="2" xfId="0" applyAlignment="1" applyBorder="1" applyFill="1" applyFont="1" applyNumberFormat="1">
      <alignment horizontal="right" readingOrder="0"/>
    </xf>
    <xf borderId="0" fillId="24" fontId="30" numFmtId="2" xfId="0" applyAlignment="1" applyFont="1" applyNumberFormat="1">
      <alignment vertical="bottom"/>
    </xf>
    <xf borderId="24" fillId="24" fontId="30" numFmtId="1" xfId="0" applyAlignment="1" applyBorder="1" applyFont="1" applyNumberFormat="1">
      <alignment vertical="bottom"/>
    </xf>
    <xf borderId="24" fillId="24" fontId="37" numFmtId="2" xfId="0" applyAlignment="1" applyBorder="1" applyFont="1" applyNumberFormat="1">
      <alignment horizontal="right"/>
    </xf>
    <xf borderId="24" fillId="24" fontId="30" numFmtId="2" xfId="0" applyAlignment="1" applyBorder="1" applyFont="1" applyNumberFormat="1">
      <alignment readingOrder="0"/>
    </xf>
    <xf borderId="24" fillId="25" fontId="30" numFmtId="10" xfId="0" applyAlignment="1" applyBorder="1" applyFont="1" applyNumberFormat="1">
      <alignment vertical="bottom"/>
    </xf>
    <xf borderId="0" fillId="22" fontId="30" numFmtId="2" xfId="0" applyAlignment="1" applyFont="1" applyNumberFormat="1">
      <alignment vertical="bottom"/>
    </xf>
    <xf borderId="24" fillId="22" fontId="33" numFmtId="1" xfId="0" applyAlignment="1" applyBorder="1" applyFont="1" applyNumberFormat="1">
      <alignment horizontal="center"/>
    </xf>
    <xf borderId="24" fillId="22" fontId="33" numFmtId="2" xfId="0" applyBorder="1" applyFont="1" applyNumberFormat="1"/>
    <xf borderId="13" fillId="27" fontId="31" numFmtId="2" xfId="0" applyBorder="1" applyFill="1" applyFont="1" applyNumberFormat="1"/>
    <xf borderId="16" fillId="23" fontId="38" numFmtId="2" xfId="0" applyBorder="1" applyFont="1" applyNumberFormat="1"/>
    <xf borderId="17" fillId="22" fontId="33" numFmtId="1" xfId="0" applyAlignment="1" applyBorder="1" applyFont="1" applyNumberFormat="1">
      <alignment horizontal="center" readingOrder="0"/>
    </xf>
    <xf borderId="25" fillId="23" fontId="34" numFmtId="2" xfId="0" applyAlignment="1" applyBorder="1" applyFont="1" applyNumberFormat="1">
      <alignment horizontal="left" readingOrder="0" shrinkToFit="0" vertical="bottom" wrapText="0"/>
    </xf>
    <xf borderId="26" fillId="23" fontId="34" numFmtId="2" xfId="0" applyAlignment="1" applyBorder="1" applyFont="1" applyNumberFormat="1">
      <alignment horizontal="left" readingOrder="0" shrinkToFit="0" vertical="bottom" wrapText="0"/>
    </xf>
    <xf borderId="26" fillId="0" fontId="34" numFmtId="2" xfId="0" applyAlignment="1" applyBorder="1" applyFont="1" applyNumberFormat="1">
      <alignment horizontal="left" readingOrder="0" shrinkToFit="0" vertical="bottom" wrapText="0"/>
    </xf>
    <xf borderId="0" fillId="28" fontId="30" numFmtId="2" xfId="0" applyAlignment="1" applyFill="1" applyFont="1" applyNumberFormat="1">
      <alignment vertical="bottom"/>
    </xf>
    <xf borderId="16" fillId="23" fontId="34" numFmtId="2" xfId="0" applyAlignment="1" applyBorder="1" applyFont="1" applyNumberFormat="1">
      <alignment horizontal="center" readingOrder="0"/>
    </xf>
    <xf borderId="13" fillId="29" fontId="31" numFmtId="2" xfId="0" applyBorder="1" applyFill="1" applyFont="1" applyNumberFormat="1"/>
    <xf borderId="2" fillId="23" fontId="30" numFmtId="1" xfId="0" applyAlignment="1" applyBorder="1" applyFont="1" applyNumberFormat="1">
      <alignment readingOrder="0" vertical="bottom"/>
    </xf>
    <xf borderId="0" fillId="23" fontId="30" numFmtId="2" xfId="0" applyAlignment="1" applyFont="1" applyNumberFormat="1">
      <alignment vertical="bottom"/>
    </xf>
    <xf borderId="0" fillId="23" fontId="30" numFmtId="1" xfId="0" applyAlignment="1" applyFont="1" applyNumberFormat="1">
      <alignment readingOrder="0" vertical="bottom"/>
    </xf>
    <xf borderId="16" fillId="23" fontId="34" numFmtId="2" xfId="0" applyAlignment="1" applyBorder="1" applyFont="1" applyNumberFormat="1">
      <alignment readingOrder="0"/>
    </xf>
    <xf borderId="0" fillId="28" fontId="30" numFmtId="2" xfId="0" applyAlignment="1" applyFont="1" applyNumberFormat="1">
      <alignment readingOrder="0" vertical="bottom"/>
    </xf>
    <xf borderId="2" fillId="15" fontId="30" numFmtId="1" xfId="0" applyAlignment="1" applyBorder="1" applyFont="1" applyNumberFormat="1">
      <alignment readingOrder="0" vertical="bottom"/>
    </xf>
    <xf borderId="0" fillId="23" fontId="30" numFmtId="1" xfId="0" applyAlignment="1" applyFont="1" applyNumberFormat="1">
      <alignment vertical="bottom"/>
    </xf>
    <xf borderId="0" fillId="0" fontId="30" numFmtId="2" xfId="0" applyAlignment="1" applyFont="1" applyNumberFormat="1">
      <alignment readingOrder="0" vertical="bottom"/>
    </xf>
    <xf borderId="16" fillId="23" fontId="14" numFmtId="2" xfId="0" applyAlignment="1" applyBorder="1" applyFont="1" applyNumberFormat="1">
      <alignment readingOrder="0"/>
    </xf>
    <xf borderId="24" fillId="0" fontId="30" numFmtId="1" xfId="0" applyAlignment="1" applyBorder="1" applyFont="1" applyNumberFormat="1">
      <alignment vertical="bottom"/>
    </xf>
    <xf borderId="24" fillId="0" fontId="37" numFmtId="2" xfId="0" applyAlignment="1" applyBorder="1" applyFont="1" applyNumberFormat="1">
      <alignment horizontal="right"/>
    </xf>
    <xf borderId="24" fillId="0" fontId="30" numFmtId="2" xfId="0" applyBorder="1" applyFont="1" applyNumberFormat="1"/>
    <xf borderId="24" fillId="0" fontId="30" numFmtId="2" xfId="0" applyAlignment="1" applyBorder="1" applyFont="1" applyNumberFormat="1">
      <alignment vertical="bottom"/>
    </xf>
    <xf borderId="0" fillId="15" fontId="30" numFmtId="2" xfId="0" applyAlignment="1" applyFont="1" applyNumberFormat="1">
      <alignment vertical="bottom"/>
    </xf>
    <xf borderId="0" fillId="15" fontId="30" numFmtId="1" xfId="0" applyAlignment="1" applyFont="1" applyNumberFormat="1">
      <alignment readingOrder="0" vertical="bottom"/>
    </xf>
    <xf borderId="0" fillId="15" fontId="30" numFmtId="1" xfId="0" applyAlignment="1" applyFont="1" applyNumberFormat="1">
      <alignment vertical="bottom"/>
    </xf>
    <xf borderId="16" fillId="0" fontId="30" numFmtId="2" xfId="0" applyAlignment="1" applyBorder="1" applyFont="1" applyNumberFormat="1">
      <alignment readingOrder="0"/>
    </xf>
    <xf borderId="13" fillId="30" fontId="31" numFmtId="2" xfId="0" applyBorder="1" applyFill="1" applyFont="1" applyNumberFormat="1"/>
    <xf borderId="13" fillId="31" fontId="31" numFmtId="2" xfId="0" applyBorder="1" applyFill="1" applyFont="1" applyNumberFormat="1"/>
    <xf borderId="0" fillId="23" fontId="13" numFmtId="2" xfId="0" applyAlignment="1" applyFont="1" applyNumberFormat="1">
      <alignment vertical="bottom"/>
    </xf>
    <xf borderId="16" fillId="23" fontId="34" numFmtId="2" xfId="0" applyAlignment="1" applyBorder="1" applyFont="1" applyNumberFormat="1">
      <alignment vertical="bottom"/>
    </xf>
    <xf borderId="16" fillId="23" fontId="13" numFmtId="2" xfId="0" applyAlignment="1" applyBorder="1" applyFont="1" applyNumberFormat="1">
      <alignment readingOrder="0" vertical="bottom"/>
    </xf>
    <xf borderId="16" fillId="23" fontId="13" numFmtId="2" xfId="0" applyAlignment="1" applyBorder="1" applyFont="1" applyNumberFormat="1">
      <alignment horizontal="center" readingOrder="0" vertical="bottom"/>
    </xf>
    <xf borderId="0" fillId="0" fontId="13" numFmtId="2" xfId="0" applyAlignment="1" applyFont="1" applyNumberFormat="1">
      <alignment vertical="bottom"/>
    </xf>
    <xf borderId="0" fillId="28" fontId="39" numFmtId="0" xfId="0" applyFont="1"/>
    <xf borderId="13" fillId="32" fontId="31" numFmtId="2" xfId="0" applyBorder="1" applyFill="1" applyFont="1" applyNumberFormat="1"/>
    <xf borderId="13" fillId="33" fontId="31" numFmtId="2" xfId="0" applyBorder="1" applyFill="1" applyFont="1" applyNumberFormat="1"/>
    <xf borderId="13" fillId="30" fontId="31" numFmtId="2" xfId="0" applyAlignment="1" applyBorder="1" applyFont="1" applyNumberFormat="1">
      <alignment readingOrder="0"/>
    </xf>
    <xf borderId="0" fillId="0" fontId="30" numFmtId="1" xfId="0" applyAlignment="1" applyFont="1" applyNumberFormat="1">
      <alignment horizontal="center" readingOrder="0" vertical="bottom"/>
    </xf>
    <xf borderId="0" fillId="0" fontId="30" numFmtId="2" xfId="0" applyAlignment="1" applyFont="1" applyNumberFormat="1">
      <alignment horizontal="center" readingOrder="0" vertical="bottom"/>
    </xf>
    <xf borderId="0" fillId="0" fontId="39" numFmtId="0" xfId="0" applyAlignment="1" applyFont="1">
      <alignment horizontal="center" readingOrder="0"/>
    </xf>
    <xf borderId="0" fillId="0" fontId="39" numFmtId="0" xfId="0" applyAlignment="1" applyFont="1">
      <alignment readingOrder="0"/>
    </xf>
    <xf borderId="0" fillId="0" fontId="39" numFmtId="0" xfId="0" applyAlignment="1" applyFont="1">
      <alignment horizontal="right" readingOrder="0"/>
    </xf>
    <xf borderId="13" fillId="34" fontId="31" numFmtId="2" xfId="0" applyBorder="1" applyFill="1" applyFont="1" applyNumberFormat="1"/>
    <xf borderId="24" fillId="21" fontId="30" numFmtId="2" xfId="0" applyBorder="1" applyFont="1" applyNumberFormat="1"/>
    <xf borderId="24" fillId="21" fontId="32" numFmtId="1" xfId="0" applyAlignment="1" applyBorder="1" applyFont="1" applyNumberFormat="1">
      <alignment horizontal="center" shrinkToFit="0" wrapText="1"/>
    </xf>
    <xf borderId="27" fillId="21" fontId="32" numFmtId="2" xfId="0" applyAlignment="1" applyBorder="1" applyFont="1" applyNumberFormat="1">
      <alignment horizontal="center" shrinkToFit="0" wrapText="1"/>
    </xf>
    <xf borderId="16" fillId="14" fontId="30" numFmtId="2" xfId="0" applyBorder="1" applyFont="1" applyNumberFormat="1"/>
    <xf borderId="28" fillId="22" fontId="33" numFmtId="2" xfId="0" applyBorder="1" applyFont="1" applyNumberFormat="1"/>
    <xf borderId="29" fillId="0" fontId="8" numFmtId="0" xfId="0" applyBorder="1" applyFont="1"/>
    <xf borderId="30" fillId="0" fontId="8" numFmtId="0" xfId="0" applyBorder="1" applyFont="1"/>
    <xf borderId="31" fillId="24" fontId="37" numFmtId="2" xfId="0" applyAlignment="1" applyBorder="1" applyFont="1" applyNumberFormat="1">
      <alignment horizontal="right"/>
    </xf>
    <xf borderId="32" fillId="0" fontId="8" numFmtId="0" xfId="0" applyBorder="1" applyFont="1"/>
    <xf borderId="33" fillId="0" fontId="8" numFmtId="0" xfId="0" applyBorder="1" applyFont="1"/>
    <xf borderId="34" fillId="24" fontId="30" numFmtId="2" xfId="0" applyBorder="1" applyFont="1" applyNumberFormat="1"/>
    <xf borderId="34" fillId="24" fontId="30" numFmtId="2" xfId="0" applyAlignment="1" applyBorder="1" applyFont="1" applyNumberFormat="1">
      <alignment vertical="bottom"/>
    </xf>
    <xf borderId="5" fillId="35" fontId="29" numFmtId="0" xfId="0" applyAlignment="1" applyBorder="1" applyFill="1" applyFont="1">
      <alignment horizontal="left" readingOrder="0" shrinkToFit="0" vertical="center" wrapText="0"/>
    </xf>
    <xf borderId="0" fillId="35" fontId="39" numFmtId="0" xfId="0" applyFont="1"/>
    <xf borderId="0" fillId="0" fontId="40" numFmtId="0" xfId="0" applyAlignment="1" applyFont="1">
      <alignment shrinkToFit="0" vertical="bottom" wrapText="0"/>
    </xf>
    <xf borderId="5" fillId="36" fontId="31" numFmtId="0" xfId="0" applyAlignment="1" applyBorder="1" applyFill="1" applyFont="1">
      <alignment horizontal="left" shrinkToFit="0" vertical="center" wrapText="0"/>
    </xf>
    <xf borderId="35" fillId="2" fontId="32" numFmtId="0" xfId="0" applyAlignment="1" applyBorder="1" applyFont="1">
      <alignment horizontal="center" shrinkToFit="0" vertical="center" wrapText="0"/>
    </xf>
    <xf borderId="35" fillId="2" fontId="32" numFmtId="166" xfId="0" applyAlignment="1" applyBorder="1" applyFont="1" applyNumberFormat="1">
      <alignment horizontal="center" shrinkToFit="0" vertical="center" wrapText="0"/>
    </xf>
    <xf borderId="35" fillId="2" fontId="32" numFmtId="4" xfId="0" applyAlignment="1" applyBorder="1" applyFont="1" applyNumberFormat="1">
      <alignment horizontal="center" shrinkToFit="0" vertical="center" wrapText="0"/>
    </xf>
    <xf borderId="1" fillId="16" fontId="41" numFmtId="0" xfId="0" applyAlignment="1" applyBorder="1" applyFont="1">
      <alignment horizontal="center" shrinkToFit="0" vertical="center" wrapText="0"/>
    </xf>
    <xf borderId="1" fillId="16" fontId="42" numFmtId="167" xfId="0" applyAlignment="1" applyBorder="1" applyFont="1" applyNumberFormat="1">
      <alignment horizontal="right" shrinkToFit="0" vertical="center" wrapText="0"/>
    </xf>
    <xf borderId="1" fillId="16" fontId="42" numFmtId="10" xfId="0" applyAlignment="1" applyBorder="1" applyFont="1" applyNumberFormat="1">
      <alignment horizontal="right" shrinkToFit="0" vertical="center" wrapText="0"/>
    </xf>
    <xf borderId="1" fillId="16" fontId="42" numFmtId="0" xfId="0" applyAlignment="1" applyBorder="1" applyFont="1">
      <alignment horizontal="center" shrinkToFit="0" vertical="center" wrapText="0"/>
    </xf>
    <xf borderId="1" fillId="37" fontId="41" numFmtId="0" xfId="0" applyAlignment="1" applyBorder="1" applyFill="1" applyFont="1">
      <alignment horizontal="center" shrinkToFit="0" vertical="center" wrapText="0"/>
    </xf>
    <xf borderId="1" fillId="37" fontId="42" numFmtId="167" xfId="0" applyAlignment="1" applyBorder="1" applyFont="1" applyNumberFormat="1">
      <alignment horizontal="right" shrinkToFit="0" vertical="center" wrapText="0"/>
    </xf>
    <xf borderId="1" fillId="37" fontId="42" numFmtId="10" xfId="0" applyAlignment="1" applyBorder="1" applyFont="1" applyNumberFormat="1">
      <alignment horizontal="right" shrinkToFit="0" vertical="center" wrapText="0"/>
    </xf>
    <xf borderId="1" fillId="37" fontId="42" numFmtId="0" xfId="0" applyAlignment="1" applyBorder="1" applyFont="1">
      <alignment horizontal="center" shrinkToFit="0" vertical="center" wrapText="0"/>
    </xf>
    <xf borderId="35" fillId="2" fontId="43" numFmtId="0" xfId="0" applyAlignment="1" applyBorder="1" applyFont="1">
      <alignment horizontal="center" shrinkToFit="0" vertical="center" wrapText="0"/>
    </xf>
    <xf borderId="35" fillId="2" fontId="43" numFmtId="167" xfId="0" applyAlignment="1" applyBorder="1" applyFont="1" applyNumberFormat="1">
      <alignment horizontal="right" shrinkToFit="0" vertical="center" wrapText="0"/>
    </xf>
    <xf borderId="35" fillId="2" fontId="43" numFmtId="10" xfId="0" applyAlignment="1" applyBorder="1" applyFont="1" applyNumberFormat="1">
      <alignment horizontal="right" shrinkToFit="0" vertical="center" wrapText="0"/>
    </xf>
    <xf borderId="35" fillId="2" fontId="42" numFmtId="0" xfId="0" applyAlignment="1" applyBorder="1" applyFont="1">
      <alignment horizontal="left" shrinkToFit="0" vertical="center" wrapText="0"/>
    </xf>
    <xf borderId="0" fillId="0" fontId="40" numFmtId="166" xfId="0" applyAlignment="1" applyFont="1" applyNumberFormat="1">
      <alignment shrinkToFit="0" vertical="bottom" wrapText="0"/>
    </xf>
    <xf borderId="0" fillId="0" fontId="40" numFmtId="4" xfId="0" applyAlignment="1" applyFont="1" applyNumberFormat="1">
      <alignment shrinkToFit="0" vertical="bottom" wrapText="0"/>
    </xf>
    <xf borderId="5" fillId="38" fontId="44" numFmtId="0" xfId="0" applyAlignment="1" applyBorder="1" applyFill="1" applyFont="1">
      <alignment horizontal="left" shrinkToFit="0" vertical="center" wrapText="0"/>
    </xf>
    <xf borderId="1" fillId="38" fontId="42" numFmtId="0" xfId="0" applyAlignment="1" applyBorder="1" applyFont="1">
      <alignment horizontal="left" shrinkToFit="0" vertical="center" wrapText="0"/>
    </xf>
    <xf borderId="1" fillId="38" fontId="44" numFmtId="4" xfId="0" applyAlignment="1" applyBorder="1" applyFont="1" applyNumberFormat="1">
      <alignment horizontal="right" shrinkToFit="0" vertical="center" wrapText="0"/>
    </xf>
    <xf borderId="1" fillId="38" fontId="45" numFmtId="4" xfId="0" applyAlignment="1" applyBorder="1" applyFont="1" applyNumberFormat="1">
      <alignment horizontal="right" shrinkToFit="0" vertical="center" wrapText="0"/>
    </xf>
    <xf borderId="1" fillId="38" fontId="45" numFmtId="10" xfId="0" applyAlignment="1" applyBorder="1" applyFont="1" applyNumberFormat="1">
      <alignment horizontal="right" shrinkToFit="0" vertical="center" wrapText="0"/>
    </xf>
    <xf borderId="1" fillId="39" fontId="46" numFmtId="0" xfId="0" applyAlignment="1" applyBorder="1" applyFill="1" applyFont="1">
      <alignment horizontal="center" shrinkToFit="0" vertical="center" wrapText="0"/>
    </xf>
    <xf borderId="1" fillId="39" fontId="42" numFmtId="0" xfId="0" applyAlignment="1" applyBorder="1" applyFont="1">
      <alignment horizontal="left" shrinkToFit="0" vertical="center" wrapText="0"/>
    </xf>
    <xf borderId="1" fillId="39" fontId="42" numFmtId="166" xfId="0" applyAlignment="1" applyBorder="1" applyFont="1" applyNumberFormat="1">
      <alignment horizontal="center" shrinkToFit="0" vertical="center" wrapText="0"/>
    </xf>
    <xf borderId="1" fillId="39" fontId="42" numFmtId="4" xfId="0" applyAlignment="1" applyBorder="1" applyFont="1" applyNumberFormat="1">
      <alignment horizontal="right" shrinkToFit="0" vertical="center" wrapText="0"/>
    </xf>
    <xf borderId="1" fillId="39" fontId="47" numFmtId="0" xfId="0" applyAlignment="1" applyBorder="1" applyFont="1">
      <alignment horizontal="center" shrinkToFit="0" vertical="center" wrapText="0"/>
    </xf>
    <xf borderId="1" fillId="39" fontId="48" numFmtId="0" xfId="0" applyAlignment="1" applyBorder="1" applyFont="1">
      <alignment horizontal="left" shrinkToFit="0" vertical="center" wrapText="0"/>
    </xf>
    <xf borderId="1" fillId="39" fontId="40" numFmtId="0" xfId="0" applyAlignment="1" applyBorder="1" applyFont="1">
      <alignment shrinkToFit="0" vertical="bottom" wrapText="0"/>
    </xf>
    <xf borderId="1" fillId="40" fontId="46" numFmtId="0" xfId="0" applyAlignment="1" applyBorder="1" applyFill="1" applyFont="1">
      <alignment horizontal="center" shrinkToFit="0" vertical="center" wrapText="0"/>
    </xf>
    <xf borderId="1" fillId="40" fontId="42" numFmtId="0" xfId="0" applyAlignment="1" applyBorder="1" applyFont="1">
      <alignment horizontal="left" shrinkToFit="0" vertical="center" wrapText="0"/>
    </xf>
    <xf borderId="1" fillId="40" fontId="42" numFmtId="166" xfId="0" applyAlignment="1" applyBorder="1" applyFont="1" applyNumberFormat="1">
      <alignment horizontal="center" shrinkToFit="0" vertical="center" wrapText="0"/>
    </xf>
    <xf borderId="1" fillId="40" fontId="42" numFmtId="4" xfId="0" applyAlignment="1" applyBorder="1" applyFont="1" applyNumberFormat="1">
      <alignment horizontal="right" shrinkToFit="0" vertical="center" wrapText="0"/>
    </xf>
    <xf borderId="1" fillId="40" fontId="47" numFmtId="0" xfId="0" applyAlignment="1" applyBorder="1" applyFont="1">
      <alignment horizontal="center" shrinkToFit="0" vertical="center" wrapText="0"/>
    </xf>
    <xf borderId="1" fillId="40" fontId="48" numFmtId="0" xfId="0" applyAlignment="1" applyBorder="1" applyFont="1">
      <alignment horizontal="left" shrinkToFit="0" vertical="center" wrapText="0"/>
    </xf>
    <xf borderId="1" fillId="40" fontId="40" numFmtId="0" xfId="0" applyAlignment="1" applyBorder="1" applyFont="1">
      <alignment shrinkToFit="0" vertical="bottom" wrapText="0"/>
    </xf>
    <xf borderId="1" fillId="40" fontId="40" numFmtId="4" xfId="0" applyAlignment="1" applyBorder="1" applyFont="1" applyNumberFormat="1">
      <alignment shrinkToFit="0" vertical="bottom" wrapText="0"/>
    </xf>
    <xf borderId="1" fillId="40" fontId="40" numFmtId="10" xfId="0" applyAlignment="1" applyBorder="1" applyFont="1" applyNumberFormat="1">
      <alignment shrinkToFit="0" vertical="bottom" wrapText="0"/>
    </xf>
    <xf borderId="2" fillId="41" fontId="40" numFmtId="0" xfId="0" applyAlignment="1" applyBorder="1" applyFill="1" applyFont="1">
      <alignment shrinkToFit="0" vertical="bottom" wrapText="0"/>
    </xf>
    <xf borderId="2" fillId="41" fontId="40" numFmtId="166" xfId="0" applyAlignment="1" applyBorder="1" applyFont="1" applyNumberFormat="1">
      <alignment shrinkToFit="0" vertical="bottom" wrapText="0"/>
    </xf>
    <xf borderId="2" fillId="41" fontId="40" numFmtId="4" xfId="0" applyAlignment="1" applyBorder="1" applyFont="1" applyNumberFormat="1">
      <alignment shrinkToFit="0" vertical="bottom" wrapText="0"/>
    </xf>
    <xf borderId="1" fillId="42" fontId="46" numFmtId="0" xfId="0" applyAlignment="1" applyBorder="1" applyFill="1" applyFont="1">
      <alignment horizontal="center" shrinkToFit="0" vertical="center" wrapText="0"/>
    </xf>
    <xf borderId="1" fillId="42" fontId="42" numFmtId="0" xfId="0" applyAlignment="1" applyBorder="1" applyFont="1">
      <alignment horizontal="left" shrinkToFit="0" vertical="center" wrapText="0"/>
    </xf>
    <xf borderId="1" fillId="42" fontId="42" numFmtId="166" xfId="0" applyAlignment="1" applyBorder="1" applyFont="1" applyNumberFormat="1">
      <alignment horizontal="center" shrinkToFit="0" vertical="center" wrapText="0"/>
    </xf>
    <xf borderId="1" fillId="42" fontId="42" numFmtId="4" xfId="0" applyAlignment="1" applyBorder="1" applyFont="1" applyNumberFormat="1">
      <alignment horizontal="right" shrinkToFit="0" vertical="center" wrapText="0"/>
    </xf>
    <xf borderId="1" fillId="42" fontId="47" numFmtId="0" xfId="0" applyAlignment="1" applyBorder="1" applyFont="1">
      <alignment horizontal="center" shrinkToFit="0" vertical="center" wrapText="0"/>
    </xf>
    <xf borderId="1" fillId="42" fontId="48" numFmtId="0" xfId="0" applyAlignment="1" applyBorder="1" applyFont="1">
      <alignment horizontal="left" shrinkToFit="0" vertical="center" wrapText="0"/>
    </xf>
    <xf borderId="1" fillId="42" fontId="40" numFmtId="0" xfId="0" applyAlignment="1" applyBorder="1" applyFont="1">
      <alignment shrinkToFit="0" vertical="bottom" wrapText="0"/>
    </xf>
    <xf borderId="1" fillId="43" fontId="46" numFmtId="0" xfId="0" applyAlignment="1" applyBorder="1" applyFill="1" applyFont="1">
      <alignment horizontal="center" shrinkToFit="0" vertical="center" wrapText="0"/>
    </xf>
    <xf borderId="1" fillId="43" fontId="42" numFmtId="0" xfId="0" applyAlignment="1" applyBorder="1" applyFont="1">
      <alignment horizontal="left" shrinkToFit="0" vertical="center" wrapText="0"/>
    </xf>
    <xf borderId="1" fillId="43" fontId="42" numFmtId="166" xfId="0" applyAlignment="1" applyBorder="1" applyFont="1" applyNumberFormat="1">
      <alignment horizontal="center" shrinkToFit="0" vertical="center" wrapText="0"/>
    </xf>
    <xf borderId="1" fillId="43" fontId="42" numFmtId="4" xfId="0" applyAlignment="1" applyBorder="1" applyFont="1" applyNumberFormat="1">
      <alignment horizontal="right" shrinkToFit="0" vertical="center" wrapText="0"/>
    </xf>
    <xf borderId="1" fillId="43" fontId="47" numFmtId="0" xfId="0" applyAlignment="1" applyBorder="1" applyFont="1">
      <alignment horizontal="center" shrinkToFit="0" vertical="center" wrapText="0"/>
    </xf>
    <xf borderId="1" fillId="43" fontId="48" numFmtId="0" xfId="0" applyAlignment="1" applyBorder="1" applyFont="1">
      <alignment horizontal="left" shrinkToFit="0" vertical="center" wrapText="0"/>
    </xf>
    <xf borderId="1" fillId="43" fontId="40" numFmtId="0" xfId="0" applyAlignment="1" applyBorder="1" applyFont="1">
      <alignment shrinkToFit="0" vertical="bottom" wrapText="0"/>
    </xf>
    <xf borderId="1" fillId="43" fontId="40" numFmtId="4" xfId="0" applyAlignment="1" applyBorder="1" applyFont="1" applyNumberFormat="1">
      <alignment shrinkToFit="0" vertical="bottom" wrapText="0"/>
    </xf>
    <xf borderId="1" fillId="43" fontId="40" numFmtId="10" xfId="0" applyAlignment="1" applyBorder="1" applyFont="1" applyNumberFormat="1">
      <alignment shrinkToFit="0" vertical="bottom" wrapText="0"/>
    </xf>
    <xf borderId="1" fillId="44" fontId="46" numFmtId="0" xfId="0" applyAlignment="1" applyBorder="1" applyFill="1" applyFont="1">
      <alignment horizontal="center" shrinkToFit="0" vertical="center" wrapText="0"/>
    </xf>
    <xf borderId="1" fillId="44" fontId="42" numFmtId="0" xfId="0" applyAlignment="1" applyBorder="1" applyFont="1">
      <alignment horizontal="left" shrinkToFit="0" vertical="center" wrapText="0"/>
    </xf>
    <xf borderId="1" fillId="44" fontId="42" numFmtId="166" xfId="0" applyAlignment="1" applyBorder="1" applyFont="1" applyNumberFormat="1">
      <alignment horizontal="center" shrinkToFit="0" vertical="center" wrapText="0"/>
    </xf>
    <xf borderId="1" fillId="44" fontId="42" numFmtId="4" xfId="0" applyAlignment="1" applyBorder="1" applyFont="1" applyNumberFormat="1">
      <alignment horizontal="right" shrinkToFit="0" vertical="center" wrapText="0"/>
    </xf>
    <xf borderId="1" fillId="44" fontId="47" numFmtId="0" xfId="0" applyAlignment="1" applyBorder="1" applyFont="1">
      <alignment horizontal="center" shrinkToFit="0" vertical="center" wrapText="0"/>
    </xf>
    <xf borderId="1" fillId="44" fontId="48" numFmtId="0" xfId="0" applyAlignment="1" applyBorder="1" applyFont="1">
      <alignment horizontal="left" shrinkToFit="0" vertical="center" wrapText="0"/>
    </xf>
    <xf borderId="1" fillId="44" fontId="40" numFmtId="0" xfId="0" applyAlignment="1" applyBorder="1" applyFont="1">
      <alignment shrinkToFit="0" vertical="bottom" wrapText="0"/>
    </xf>
    <xf borderId="1" fillId="45" fontId="46" numFmtId="0" xfId="0" applyAlignment="1" applyBorder="1" applyFill="1" applyFont="1">
      <alignment horizontal="center" shrinkToFit="0" vertical="center" wrapText="0"/>
    </xf>
    <xf borderId="1" fillId="45" fontId="42" numFmtId="0" xfId="0" applyAlignment="1" applyBorder="1" applyFont="1">
      <alignment horizontal="left" shrinkToFit="0" vertical="center" wrapText="0"/>
    </xf>
    <xf borderId="1" fillId="45" fontId="42" numFmtId="166" xfId="0" applyAlignment="1" applyBorder="1" applyFont="1" applyNumberFormat="1">
      <alignment horizontal="center" shrinkToFit="0" vertical="center" wrapText="0"/>
    </xf>
    <xf borderId="1" fillId="45" fontId="42" numFmtId="4" xfId="0" applyAlignment="1" applyBorder="1" applyFont="1" applyNumberFormat="1">
      <alignment horizontal="right" shrinkToFit="0" vertical="center" wrapText="0"/>
    </xf>
    <xf borderId="1" fillId="45" fontId="47" numFmtId="0" xfId="0" applyAlignment="1" applyBorder="1" applyFont="1">
      <alignment horizontal="center" shrinkToFit="0" vertical="center" wrapText="0"/>
    </xf>
    <xf borderId="1" fillId="45" fontId="48" numFmtId="0" xfId="0" applyAlignment="1" applyBorder="1" applyFont="1">
      <alignment horizontal="left" shrinkToFit="0" vertical="center" wrapText="0"/>
    </xf>
    <xf borderId="1" fillId="45" fontId="40" numFmtId="0" xfId="0" applyAlignment="1" applyBorder="1" applyFont="1">
      <alignment shrinkToFit="0" vertical="bottom" wrapText="0"/>
    </xf>
    <xf borderId="1" fillId="44" fontId="40" numFmtId="4" xfId="0" applyAlignment="1" applyBorder="1" applyFont="1" applyNumberFormat="1">
      <alignment shrinkToFit="0" vertical="bottom" wrapText="0"/>
    </xf>
    <xf borderId="1" fillId="44" fontId="40" numFmtId="10" xfId="0" applyAlignment="1" applyBorder="1" applyFont="1" applyNumberFormat="1">
      <alignment shrinkToFit="0" vertical="bottom" wrapText="0"/>
    </xf>
    <xf borderId="1" fillId="46" fontId="46" numFmtId="0" xfId="0" applyAlignment="1" applyBorder="1" applyFill="1" applyFont="1">
      <alignment horizontal="center" shrinkToFit="0" vertical="center" wrapText="0"/>
    </xf>
    <xf borderId="1" fillId="46" fontId="42" numFmtId="0" xfId="0" applyAlignment="1" applyBorder="1" applyFont="1">
      <alignment horizontal="left" shrinkToFit="0" vertical="center" wrapText="0"/>
    </xf>
    <xf borderId="1" fillId="46" fontId="42" numFmtId="166" xfId="0" applyAlignment="1" applyBorder="1" applyFont="1" applyNumberFormat="1">
      <alignment horizontal="center" shrinkToFit="0" vertical="center" wrapText="0"/>
    </xf>
    <xf borderId="1" fillId="46" fontId="42" numFmtId="4" xfId="0" applyAlignment="1" applyBorder="1" applyFont="1" applyNumberFormat="1">
      <alignment horizontal="right" shrinkToFit="0" vertical="center" wrapText="0"/>
    </xf>
    <xf borderId="1" fillId="46" fontId="47" numFmtId="0" xfId="0" applyAlignment="1" applyBorder="1" applyFont="1">
      <alignment horizontal="center" shrinkToFit="0" vertical="center" wrapText="0"/>
    </xf>
    <xf borderId="1" fillId="46" fontId="48" numFmtId="0" xfId="0" applyAlignment="1" applyBorder="1" applyFont="1">
      <alignment horizontal="left" shrinkToFit="0" vertical="center" wrapText="0"/>
    </xf>
    <xf borderId="1" fillId="46" fontId="40" numFmtId="0" xfId="0" applyAlignment="1" applyBorder="1" applyFont="1">
      <alignment shrinkToFit="0" vertical="bottom" wrapText="0"/>
    </xf>
    <xf borderId="1" fillId="47" fontId="46" numFmtId="0" xfId="0" applyAlignment="1" applyBorder="1" applyFill="1" applyFont="1">
      <alignment horizontal="center" shrinkToFit="0" vertical="center" wrapText="0"/>
    </xf>
    <xf borderId="1" fillId="47" fontId="42" numFmtId="0" xfId="0" applyAlignment="1" applyBorder="1" applyFont="1">
      <alignment horizontal="left" shrinkToFit="0" vertical="center" wrapText="0"/>
    </xf>
    <xf borderId="1" fillId="47" fontId="42" numFmtId="166" xfId="0" applyAlignment="1" applyBorder="1" applyFont="1" applyNumberFormat="1">
      <alignment horizontal="center" shrinkToFit="0" vertical="center" wrapText="0"/>
    </xf>
    <xf borderId="1" fillId="47" fontId="42" numFmtId="4" xfId="0" applyAlignment="1" applyBorder="1" applyFont="1" applyNumberFormat="1">
      <alignment horizontal="right" shrinkToFit="0" vertical="center" wrapText="0"/>
    </xf>
    <xf borderId="1" fillId="47" fontId="47" numFmtId="0" xfId="0" applyAlignment="1" applyBorder="1" applyFont="1">
      <alignment horizontal="center" shrinkToFit="0" vertical="center" wrapText="0"/>
    </xf>
    <xf borderId="1" fillId="47" fontId="48" numFmtId="0" xfId="0" applyAlignment="1" applyBorder="1" applyFont="1">
      <alignment horizontal="left" shrinkToFit="0" vertical="center" wrapText="0"/>
    </xf>
    <xf borderId="1" fillId="47" fontId="40" numFmtId="0" xfId="0" applyAlignment="1" applyBorder="1" applyFont="1">
      <alignment shrinkToFit="0" vertical="bottom" wrapText="0"/>
    </xf>
    <xf borderId="1" fillId="47" fontId="40" numFmtId="4" xfId="0" applyAlignment="1" applyBorder="1" applyFont="1" applyNumberFormat="1">
      <alignment shrinkToFit="0" vertical="bottom" wrapText="0"/>
    </xf>
    <xf borderId="1" fillId="47" fontId="40" numFmtId="10" xfId="0" applyAlignment="1" applyBorder="1" applyFont="1" applyNumberFormat="1">
      <alignment shrinkToFit="0" vertical="bottom" wrapText="0"/>
    </xf>
    <xf borderId="1" fillId="48" fontId="46" numFmtId="0" xfId="0" applyAlignment="1" applyBorder="1" applyFill="1" applyFont="1">
      <alignment horizontal="center" shrinkToFit="0" vertical="center" wrapText="0"/>
    </xf>
    <xf borderId="1" fillId="48" fontId="42" numFmtId="0" xfId="0" applyAlignment="1" applyBorder="1" applyFont="1">
      <alignment horizontal="left" shrinkToFit="0" vertical="center" wrapText="0"/>
    </xf>
    <xf borderId="1" fillId="48" fontId="42" numFmtId="166" xfId="0" applyAlignment="1" applyBorder="1" applyFont="1" applyNumberFormat="1">
      <alignment horizontal="center" shrinkToFit="0" vertical="center" wrapText="0"/>
    </xf>
    <xf borderId="1" fillId="48" fontId="42" numFmtId="4" xfId="0" applyAlignment="1" applyBorder="1" applyFont="1" applyNumberFormat="1">
      <alignment horizontal="right" shrinkToFit="0" vertical="center" wrapText="0"/>
    </xf>
    <xf borderId="1" fillId="48" fontId="47" numFmtId="0" xfId="0" applyAlignment="1" applyBorder="1" applyFont="1">
      <alignment horizontal="center" shrinkToFit="0" vertical="center" wrapText="0"/>
    </xf>
    <xf borderId="1" fillId="48" fontId="48" numFmtId="0" xfId="0" applyAlignment="1" applyBorder="1" applyFont="1">
      <alignment horizontal="left" shrinkToFit="0" vertical="center" wrapText="0"/>
    </xf>
    <xf borderId="1" fillId="48" fontId="40" numFmtId="0" xfId="0" applyAlignment="1" applyBorder="1" applyFont="1">
      <alignment shrinkToFit="0" vertical="bottom" wrapText="0"/>
    </xf>
    <xf borderId="1" fillId="39" fontId="40" numFmtId="4" xfId="0" applyAlignment="1" applyBorder="1" applyFont="1" applyNumberFormat="1">
      <alignment shrinkToFit="0" vertical="bottom" wrapText="0"/>
    </xf>
    <xf borderId="1" fillId="39" fontId="40" numFmtId="10" xfId="0" applyAlignment="1" applyBorder="1" applyFont="1" applyNumberFormat="1">
      <alignment shrinkToFit="0" vertical="bottom" wrapText="0"/>
    </xf>
    <xf borderId="1" fillId="49" fontId="46" numFmtId="0" xfId="0" applyAlignment="1" applyBorder="1" applyFill="1" applyFont="1">
      <alignment horizontal="center" shrinkToFit="0" vertical="center" wrapText="0"/>
    </xf>
    <xf borderId="1" fillId="49" fontId="42" numFmtId="0" xfId="0" applyAlignment="1" applyBorder="1" applyFont="1">
      <alignment horizontal="left" shrinkToFit="0" vertical="center" wrapText="0"/>
    </xf>
    <xf borderId="1" fillId="49" fontId="42" numFmtId="166" xfId="0" applyAlignment="1" applyBorder="1" applyFont="1" applyNumberFormat="1">
      <alignment horizontal="center" shrinkToFit="0" vertical="center" wrapText="0"/>
    </xf>
    <xf borderId="1" fillId="49" fontId="42" numFmtId="4" xfId="0" applyAlignment="1" applyBorder="1" applyFont="1" applyNumberFormat="1">
      <alignment horizontal="right" shrinkToFit="0" vertical="center" wrapText="0"/>
    </xf>
    <xf borderId="1" fillId="49" fontId="47" numFmtId="0" xfId="0" applyAlignment="1" applyBorder="1" applyFont="1">
      <alignment horizontal="center" shrinkToFit="0" vertical="center" wrapText="0"/>
    </xf>
    <xf borderId="1" fillId="49" fontId="48" numFmtId="0" xfId="0" applyAlignment="1" applyBorder="1" applyFont="1">
      <alignment horizontal="left" shrinkToFit="0" vertical="center" wrapText="0"/>
    </xf>
    <xf borderId="1" fillId="49" fontId="40" numFmtId="0" xfId="0" applyAlignment="1" applyBorder="1" applyFont="1">
      <alignment shrinkToFit="0" vertical="bottom" wrapText="0"/>
    </xf>
    <xf borderId="1" fillId="50" fontId="46" numFmtId="0" xfId="0" applyAlignment="1" applyBorder="1" applyFill="1" applyFont="1">
      <alignment horizontal="center" shrinkToFit="0" vertical="center" wrapText="0"/>
    </xf>
    <xf borderId="1" fillId="50" fontId="42" numFmtId="0" xfId="0" applyAlignment="1" applyBorder="1" applyFont="1">
      <alignment horizontal="left" shrinkToFit="0" vertical="center" wrapText="0"/>
    </xf>
    <xf borderId="1" fillId="50" fontId="42" numFmtId="166" xfId="0" applyAlignment="1" applyBorder="1" applyFont="1" applyNumberFormat="1">
      <alignment horizontal="center" shrinkToFit="0" vertical="center" wrapText="0"/>
    </xf>
    <xf borderId="1" fillId="50" fontId="42" numFmtId="4" xfId="0" applyAlignment="1" applyBorder="1" applyFont="1" applyNumberFormat="1">
      <alignment horizontal="right" shrinkToFit="0" vertical="center" wrapText="0"/>
    </xf>
    <xf borderId="1" fillId="50" fontId="47" numFmtId="0" xfId="0" applyAlignment="1" applyBorder="1" applyFont="1">
      <alignment horizontal="center" shrinkToFit="0" vertical="center" wrapText="0"/>
    </xf>
    <xf borderId="1" fillId="50" fontId="48" numFmtId="0" xfId="0" applyAlignment="1" applyBorder="1" applyFont="1">
      <alignment horizontal="left" shrinkToFit="0" vertical="center" wrapText="0"/>
    </xf>
    <xf borderId="1" fillId="50" fontId="40" numFmtId="0" xfId="0" applyAlignment="1" applyBorder="1" applyFont="1">
      <alignment shrinkToFit="0" vertical="bottom" wrapText="0"/>
    </xf>
    <xf borderId="1" fillId="49" fontId="40" numFmtId="4" xfId="0" applyAlignment="1" applyBorder="1" applyFont="1" applyNumberFormat="1">
      <alignment shrinkToFit="0" vertical="bottom" wrapText="0"/>
    </xf>
    <xf borderId="1" fillId="49" fontId="40" numFmtId="10" xfId="0" applyAlignment="1" applyBorder="1" applyFont="1" applyNumberFormat="1">
      <alignment shrinkToFit="0" vertical="bottom" wrapText="0"/>
    </xf>
    <xf borderId="1" fillId="42" fontId="40" numFmtId="4" xfId="0" applyAlignment="1" applyBorder="1" applyFont="1" applyNumberFormat="1">
      <alignment shrinkToFit="0" vertical="bottom" wrapText="0"/>
    </xf>
    <xf borderId="1" fillId="42" fontId="40" numFmtId="10" xfId="0" applyAlignment="1" applyBorder="1" applyFont="1" applyNumberFormat="1">
      <alignment shrinkToFit="0" vertical="bottom" wrapText="0"/>
    </xf>
    <xf borderId="1" fillId="45" fontId="40" numFmtId="4" xfId="0" applyAlignment="1" applyBorder="1" applyFont="1" applyNumberFormat="1">
      <alignment shrinkToFit="0" vertical="bottom" wrapText="0"/>
    </xf>
    <xf borderId="1" fillId="45" fontId="40" numFmtId="10" xfId="0" applyAlignment="1" applyBorder="1" applyFont="1" applyNumberFormat="1">
      <alignment shrinkToFit="0" vertical="bottom" wrapText="0"/>
    </xf>
    <xf borderId="1" fillId="46" fontId="40" numFmtId="4" xfId="0" applyAlignment="1" applyBorder="1" applyFont="1" applyNumberFormat="1">
      <alignment shrinkToFit="0" vertical="bottom" wrapText="0"/>
    </xf>
    <xf borderId="1" fillId="46" fontId="40" numFmtId="10" xfId="0" applyAlignment="1" applyBorder="1" applyFont="1" applyNumberFormat="1">
      <alignment shrinkToFit="0" vertical="bottom" wrapText="0"/>
    </xf>
    <xf borderId="1" fillId="47" fontId="42" numFmtId="167" xfId="0" applyAlignment="1" applyBorder="1" applyFont="1" applyNumberFormat="1">
      <alignment horizontal="left" shrinkToFit="0" vertical="center" wrapText="0"/>
    </xf>
    <xf borderId="1" fillId="46" fontId="42" numFmtId="167" xfId="0" applyAlignment="1" applyBorder="1" applyFont="1" applyNumberFormat="1">
      <alignment horizontal="left" shrinkToFit="0" vertical="center" wrapText="0"/>
    </xf>
    <xf borderId="1" fillId="48" fontId="40" numFmtId="4" xfId="0" applyAlignment="1" applyBorder="1" applyFont="1" applyNumberFormat="1">
      <alignment shrinkToFit="0" vertical="bottom" wrapText="0"/>
    </xf>
    <xf borderId="1" fillId="48" fontId="40" numFmtId="10" xfId="0" applyAlignment="1" applyBorder="1" applyFont="1" applyNumberFormat="1">
      <alignment shrinkToFit="0" vertical="bottom" wrapText="0"/>
    </xf>
    <xf borderId="1" fillId="46" fontId="42" numFmtId="4" xfId="0" applyAlignment="1" applyBorder="1" applyFont="1" applyNumberFormat="1">
      <alignment horizontal="left" shrinkToFit="0" vertical="center" wrapText="0"/>
    </xf>
    <xf borderId="36" fillId="36" fontId="44" numFmtId="0" xfId="0" applyAlignment="1" applyBorder="1" applyFont="1">
      <alignment horizontal="left" shrinkToFit="0" vertical="center" wrapText="0"/>
    </xf>
    <xf borderId="37" fillId="0" fontId="8" numFmtId="0" xfId="0" applyBorder="1" applyFont="1"/>
    <xf borderId="35" fillId="36" fontId="45" numFmtId="4" xfId="0" applyAlignment="1" applyBorder="1" applyFont="1" applyNumberFormat="1">
      <alignment horizontal="right" shrinkToFit="0" vertical="center" wrapText="0"/>
    </xf>
    <xf borderId="35" fillId="36" fontId="45" numFmtId="10" xfId="0" applyAlignment="1" applyBorder="1" applyFont="1" applyNumberFormat="1">
      <alignment horizontal="right" shrinkToFit="0" vertical="center" wrapText="0"/>
    </xf>
    <xf borderId="5" fillId="36" fontId="29" numFmtId="0" xfId="0" applyAlignment="1" applyBorder="1" applyFont="1">
      <alignment horizontal="left" shrinkToFit="0" vertical="center" wrapText="0"/>
    </xf>
    <xf borderId="5" fillId="41" fontId="49" numFmtId="0" xfId="0" applyAlignment="1" applyBorder="1" applyFont="1">
      <alignment horizontal="left" readingOrder="0" shrinkToFit="0" vertical="center" wrapText="0"/>
    </xf>
    <xf borderId="1" fillId="16" fontId="50" numFmtId="164" xfId="0" applyAlignment="1" applyBorder="1" applyFont="1" applyNumberFormat="1">
      <alignment horizontal="left" shrinkToFit="0" vertical="center" wrapText="0"/>
    </xf>
    <xf borderId="1" fillId="37" fontId="50" numFmtId="164" xfId="0" applyAlignment="1" applyBorder="1" applyFont="1" applyNumberFormat="1">
      <alignment horizontal="left" shrinkToFit="0" vertical="center" wrapText="0"/>
    </xf>
    <xf borderId="35" fillId="2" fontId="42" numFmtId="164" xfId="0" applyAlignment="1" applyBorder="1" applyFont="1" applyNumberFormat="1">
      <alignment horizontal="left" shrinkToFit="0" vertical="center" wrapText="0"/>
    </xf>
    <xf borderId="35" fillId="2" fontId="42" numFmtId="4" xfId="0" applyAlignment="1" applyBorder="1" applyFont="1" applyNumberFormat="1">
      <alignment horizontal="left" shrinkToFit="0" vertical="center" wrapText="0"/>
    </xf>
    <xf borderId="0" fillId="0" fontId="40" numFmtId="164" xfId="0" applyAlignment="1" applyFont="1" applyNumberFormat="1">
      <alignment shrinkToFit="0" vertical="bottom" wrapText="0"/>
    </xf>
    <xf borderId="35" fillId="2" fontId="32" numFmtId="164" xfId="0" applyAlignment="1" applyBorder="1" applyFont="1" applyNumberFormat="1">
      <alignment horizontal="center" shrinkToFit="0" vertical="center" wrapText="0"/>
    </xf>
    <xf borderId="5" fillId="51" fontId="44" numFmtId="0" xfId="0" applyAlignment="1" applyBorder="1" applyFill="1" applyFont="1">
      <alignment horizontal="left" shrinkToFit="0" vertical="center" wrapText="0"/>
    </xf>
    <xf borderId="1" fillId="51" fontId="42" numFmtId="0" xfId="0" applyAlignment="1" applyBorder="1" applyFont="1">
      <alignment horizontal="left" shrinkToFit="0" vertical="center" wrapText="0"/>
    </xf>
    <xf borderId="1" fillId="51" fontId="42" numFmtId="164" xfId="0" applyAlignment="1" applyBorder="1" applyFont="1" applyNumberFormat="1">
      <alignment horizontal="left" shrinkToFit="0" vertical="center" wrapText="0"/>
    </xf>
    <xf borderId="1" fillId="51" fontId="42" numFmtId="4" xfId="0" applyAlignment="1" applyBorder="1" applyFont="1" applyNumberFormat="1">
      <alignment horizontal="left" shrinkToFit="0" vertical="center" wrapText="0"/>
    </xf>
    <xf borderId="1" fillId="51" fontId="51" numFmtId="4" xfId="0" applyAlignment="1" applyBorder="1" applyFont="1" applyNumberFormat="1">
      <alignment horizontal="center" shrinkToFit="0" vertical="center" wrapText="0"/>
    </xf>
    <xf borderId="1" fillId="51" fontId="45" numFmtId="4" xfId="0" applyAlignment="1" applyBorder="1" applyFont="1" applyNumberFormat="1">
      <alignment horizontal="right" shrinkToFit="0" vertical="center" wrapText="0"/>
    </xf>
    <xf borderId="1" fillId="39" fontId="52" numFmtId="164" xfId="0" applyAlignment="1" applyBorder="1" applyFont="1" applyNumberFormat="1">
      <alignment horizontal="right" shrinkToFit="0" vertical="center" wrapText="0"/>
    </xf>
    <xf borderId="1" fillId="40" fontId="52" numFmtId="164" xfId="0" applyAlignment="1" applyBorder="1" applyFont="1" applyNumberFormat="1">
      <alignment horizontal="right" shrinkToFit="0" vertical="center" wrapText="0"/>
    </xf>
    <xf borderId="2" fillId="41" fontId="40" numFmtId="164" xfId="0" applyAlignment="1" applyBorder="1" applyFont="1" applyNumberFormat="1">
      <alignment shrinkToFit="0" vertical="bottom" wrapText="0"/>
    </xf>
    <xf borderId="5" fillId="52" fontId="44" numFmtId="0" xfId="0" applyAlignment="1" applyBorder="1" applyFill="1" applyFont="1">
      <alignment horizontal="left" shrinkToFit="0" vertical="center" wrapText="0"/>
    </xf>
    <xf borderId="1" fillId="52" fontId="42" numFmtId="0" xfId="0" applyAlignment="1" applyBorder="1" applyFont="1">
      <alignment horizontal="left" shrinkToFit="0" vertical="center" wrapText="0"/>
    </xf>
    <xf borderId="1" fillId="52" fontId="42" numFmtId="164" xfId="0" applyAlignment="1" applyBorder="1" applyFont="1" applyNumberFormat="1">
      <alignment horizontal="left" shrinkToFit="0" vertical="center" wrapText="0"/>
    </xf>
    <xf borderId="1" fillId="52" fontId="42" numFmtId="4" xfId="0" applyAlignment="1" applyBorder="1" applyFont="1" applyNumberFormat="1">
      <alignment horizontal="left" shrinkToFit="0" vertical="center" wrapText="0"/>
    </xf>
    <xf borderId="1" fillId="52" fontId="43" numFmtId="4" xfId="0" applyAlignment="1" applyBorder="1" applyFont="1" applyNumberFormat="1">
      <alignment horizontal="right" shrinkToFit="0" vertical="center" wrapText="0"/>
    </xf>
    <xf borderId="1" fillId="52" fontId="45" numFmtId="4" xfId="0" applyAlignment="1" applyBorder="1" applyFont="1" applyNumberFormat="1">
      <alignment horizontal="right" shrinkToFit="0" vertical="center" wrapText="0"/>
    </xf>
    <xf borderId="1" fillId="42" fontId="52" numFmtId="164" xfId="0" applyAlignment="1" applyBorder="1" applyFont="1" applyNumberFormat="1">
      <alignment horizontal="right" shrinkToFit="0" vertical="center" wrapText="0"/>
    </xf>
    <xf borderId="1" fillId="43" fontId="52" numFmtId="164" xfId="0" applyAlignment="1" applyBorder="1" applyFont="1" applyNumberFormat="1">
      <alignment horizontal="right" shrinkToFit="0" vertical="center" wrapText="0"/>
    </xf>
    <xf borderId="5" fillId="53" fontId="44" numFmtId="0" xfId="0" applyAlignment="1" applyBorder="1" applyFill="1" applyFont="1">
      <alignment horizontal="left" shrinkToFit="0" vertical="center" wrapText="0"/>
    </xf>
    <xf borderId="1" fillId="53" fontId="42" numFmtId="0" xfId="0" applyAlignment="1" applyBorder="1" applyFont="1">
      <alignment horizontal="left" shrinkToFit="0" vertical="center" wrapText="0"/>
    </xf>
    <xf borderId="1" fillId="53" fontId="42" numFmtId="164" xfId="0" applyAlignment="1" applyBorder="1" applyFont="1" applyNumberFormat="1">
      <alignment horizontal="left" shrinkToFit="0" vertical="center" wrapText="0"/>
    </xf>
    <xf borderId="1" fillId="53" fontId="42" numFmtId="4" xfId="0" applyAlignment="1" applyBorder="1" applyFont="1" applyNumberFormat="1">
      <alignment horizontal="left" shrinkToFit="0" vertical="center" wrapText="0"/>
    </xf>
    <xf borderId="1" fillId="53" fontId="51" numFmtId="4" xfId="0" applyAlignment="1" applyBorder="1" applyFont="1" applyNumberFormat="1">
      <alignment horizontal="center" shrinkToFit="0" vertical="center" wrapText="0"/>
    </xf>
    <xf borderId="1" fillId="53" fontId="45" numFmtId="4" xfId="0" applyAlignment="1" applyBorder="1" applyFont="1" applyNumberFormat="1">
      <alignment horizontal="right" shrinkToFit="0" vertical="center" wrapText="0"/>
    </xf>
    <xf borderId="1" fillId="44" fontId="52" numFmtId="164" xfId="0" applyAlignment="1" applyBorder="1" applyFont="1" applyNumberFormat="1">
      <alignment horizontal="right" shrinkToFit="0" vertical="center" wrapText="0"/>
    </xf>
    <xf borderId="1" fillId="45" fontId="52" numFmtId="164" xfId="0" applyAlignment="1" applyBorder="1" applyFont="1" applyNumberFormat="1">
      <alignment horizontal="right" shrinkToFit="0" vertical="center" wrapText="0"/>
    </xf>
    <xf borderId="5" fillId="54" fontId="44" numFmtId="0" xfId="0" applyAlignment="1" applyBorder="1" applyFill="1" applyFont="1">
      <alignment horizontal="left" shrinkToFit="0" vertical="center" wrapText="0"/>
    </xf>
    <xf borderId="1" fillId="54" fontId="42" numFmtId="0" xfId="0" applyAlignment="1" applyBorder="1" applyFont="1">
      <alignment horizontal="left" shrinkToFit="0" vertical="center" wrapText="0"/>
    </xf>
    <xf borderId="1" fillId="54" fontId="42" numFmtId="164" xfId="0" applyAlignment="1" applyBorder="1" applyFont="1" applyNumberFormat="1">
      <alignment horizontal="left" shrinkToFit="0" vertical="center" wrapText="0"/>
    </xf>
    <xf borderId="1" fillId="54" fontId="42" numFmtId="4" xfId="0" applyAlignment="1" applyBorder="1" applyFont="1" applyNumberFormat="1">
      <alignment horizontal="left" shrinkToFit="0" vertical="center" wrapText="0"/>
    </xf>
    <xf borderId="1" fillId="54" fontId="43" numFmtId="4" xfId="0" applyAlignment="1" applyBorder="1" applyFont="1" applyNumberFormat="1">
      <alignment horizontal="right" shrinkToFit="0" vertical="center" wrapText="0"/>
    </xf>
    <xf borderId="1" fillId="54" fontId="45" numFmtId="4" xfId="0" applyAlignment="1" applyBorder="1" applyFont="1" applyNumberFormat="1">
      <alignment horizontal="right" shrinkToFit="0" vertical="center" wrapText="0"/>
    </xf>
    <xf borderId="1" fillId="46" fontId="52" numFmtId="164" xfId="0" applyAlignment="1" applyBorder="1" applyFont="1" applyNumberFormat="1">
      <alignment horizontal="right" shrinkToFit="0" vertical="center" wrapText="0"/>
    </xf>
    <xf borderId="1" fillId="47" fontId="52" numFmtId="164" xfId="0" applyAlignment="1" applyBorder="1" applyFont="1" applyNumberFormat="1">
      <alignment horizontal="right" shrinkToFit="0" vertical="center" wrapText="0"/>
    </xf>
    <xf borderId="5" fillId="55" fontId="44" numFmtId="0" xfId="0" applyAlignment="1" applyBorder="1" applyFill="1" applyFont="1">
      <alignment horizontal="left" shrinkToFit="0" vertical="center" wrapText="0"/>
    </xf>
    <xf borderId="1" fillId="55" fontId="42" numFmtId="0" xfId="0" applyAlignment="1" applyBorder="1" applyFont="1">
      <alignment horizontal="left" shrinkToFit="0" vertical="center" wrapText="0"/>
    </xf>
    <xf borderId="1" fillId="55" fontId="42" numFmtId="164" xfId="0" applyAlignment="1" applyBorder="1" applyFont="1" applyNumberFormat="1">
      <alignment horizontal="left" shrinkToFit="0" vertical="center" wrapText="0"/>
    </xf>
    <xf borderId="1" fillId="55" fontId="42" numFmtId="4" xfId="0" applyAlignment="1" applyBorder="1" applyFont="1" applyNumberFormat="1">
      <alignment horizontal="left" shrinkToFit="0" vertical="center" wrapText="0"/>
    </xf>
    <xf borderId="1" fillId="55" fontId="43" numFmtId="4" xfId="0" applyAlignment="1" applyBorder="1" applyFont="1" applyNumberFormat="1">
      <alignment horizontal="right" shrinkToFit="0" vertical="center" wrapText="0"/>
    </xf>
    <xf borderId="1" fillId="55" fontId="45" numFmtId="4" xfId="0" applyAlignment="1" applyBorder="1" applyFont="1" applyNumberFormat="1">
      <alignment horizontal="right" shrinkToFit="0" vertical="center" wrapText="0"/>
    </xf>
    <xf borderId="1" fillId="48" fontId="52" numFmtId="164" xfId="0" applyAlignment="1" applyBorder="1" applyFont="1" applyNumberFormat="1">
      <alignment horizontal="right" shrinkToFit="0" vertical="center" wrapText="0"/>
    </xf>
    <xf borderId="1" fillId="51" fontId="43" numFmtId="4" xfId="0" applyAlignment="1" applyBorder="1" applyFont="1" applyNumberFormat="1">
      <alignment horizontal="right" shrinkToFit="0" vertical="center" wrapText="0"/>
    </xf>
    <xf borderId="1" fillId="49" fontId="52" numFmtId="164" xfId="0" applyAlignment="1" applyBorder="1" applyFont="1" applyNumberFormat="1">
      <alignment horizontal="right" shrinkToFit="0" vertical="center" wrapText="0"/>
    </xf>
    <xf borderId="1" fillId="50" fontId="52" numFmtId="164" xfId="0" applyAlignment="1" applyBorder="1" applyFont="1" applyNumberFormat="1">
      <alignment horizontal="right" shrinkToFit="0" vertical="center" wrapText="0"/>
    </xf>
    <xf borderId="1" fillId="40" fontId="42" numFmtId="167" xfId="0" applyAlignment="1" applyBorder="1" applyFont="1" applyNumberFormat="1">
      <alignment horizontal="left" shrinkToFit="0" vertical="center" wrapText="0"/>
    </xf>
    <xf borderId="1" fillId="39" fontId="42" numFmtId="167" xfId="0" applyAlignment="1" applyBorder="1" applyFont="1" applyNumberFormat="1">
      <alignment horizontal="left" shrinkToFit="0" vertical="center" wrapText="0"/>
    </xf>
    <xf borderId="1" fillId="53" fontId="43" numFmtId="4" xfId="0" applyAlignment="1" applyBorder="1" applyFont="1" applyNumberFormat="1">
      <alignment horizontal="right" shrinkToFit="0" vertical="center" wrapText="0"/>
    </xf>
    <xf borderId="2" fillId="41" fontId="6" numFmtId="0" xfId="0" applyAlignment="1" applyBorder="1" applyFont="1">
      <alignment shrinkToFit="0" vertical="bottom" wrapText="0"/>
    </xf>
    <xf borderId="1" fillId="55" fontId="43" numFmtId="0" xfId="0" applyAlignment="1" applyBorder="1" applyFont="1">
      <alignment horizontal="right" shrinkToFit="0" vertical="center" wrapText="0"/>
    </xf>
    <xf borderId="1" fillId="42" fontId="42" numFmtId="4" xfId="0" applyAlignment="1" applyBorder="1" applyFont="1" applyNumberFormat="1">
      <alignment horizontal="left" shrinkToFit="0" vertical="center" wrapText="0"/>
    </xf>
    <xf borderId="5" fillId="36" fontId="44" numFmtId="0" xfId="0" applyAlignment="1" applyBorder="1" applyFont="1">
      <alignment horizontal="left" shrinkToFit="0" vertical="center" wrapText="0"/>
    </xf>
    <xf borderId="35" fillId="36" fontId="43" numFmtId="0" xfId="0" applyAlignment="1" applyBorder="1" applyFont="1">
      <alignment horizontal="right" shrinkToFit="0" vertical="center" wrapText="0"/>
    </xf>
    <xf borderId="35" fillId="36" fontId="45" numFmtId="167" xfId="0" applyAlignment="1" applyBorder="1" applyFont="1" applyNumberFormat="1">
      <alignment horizontal="right" shrinkToFit="0" vertical="center" wrapText="0"/>
    </xf>
    <xf borderId="35" fillId="36" fontId="42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0"/>
    <col customWidth="1" min="2" max="2" width="30.0"/>
    <col customWidth="1" min="3" max="3" width="22.0"/>
    <col customWidth="1" min="4" max="4" width="9.75"/>
    <col customWidth="1" min="5" max="5" width="13.0"/>
    <col customWidth="1" min="6" max="7" width="15.0"/>
    <col customWidth="1" min="8" max="8" width="12.0"/>
    <col customWidth="1" min="9" max="9" width="13.0"/>
    <col customWidth="1" min="10" max="10" width="15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9.5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9.5" customHeight="1">
      <c r="A3" s="5" t="s">
        <v>11</v>
      </c>
      <c r="B3" s="6"/>
      <c r="C3" s="6"/>
      <c r="D3" s="6"/>
      <c r="E3" s="6"/>
      <c r="F3" s="6"/>
      <c r="G3" s="6"/>
      <c r="H3" s="6"/>
      <c r="I3" s="6"/>
      <c r="J3" s="6"/>
    </row>
    <row r="4" ht="16.5" customHeight="1">
      <c r="A4" s="7">
        <v>1.0</v>
      </c>
      <c r="B4" s="8" t="s">
        <v>12</v>
      </c>
      <c r="C4" s="7" t="s">
        <v>13</v>
      </c>
      <c r="D4" s="7" t="s">
        <v>14</v>
      </c>
      <c r="E4" s="9">
        <v>1000.0</v>
      </c>
      <c r="F4" s="9">
        <v>2200.0</v>
      </c>
      <c r="G4" s="10">
        <f>IF(E4&gt;0,F4/E4,"")</f>
        <v>2.2</v>
      </c>
      <c r="H4" s="7"/>
      <c r="I4" s="11">
        <f t="shared" ref="I4:I6" si="1">E4/1000</f>
        <v>1</v>
      </c>
      <c r="J4" s="9">
        <f>IF(E4&gt;0,F4/E4*1000,"")</f>
        <v>2200</v>
      </c>
    </row>
    <row r="5" ht="16.5" customHeight="1">
      <c r="A5" s="12">
        <v>2.0</v>
      </c>
      <c r="B5" s="13" t="s">
        <v>15</v>
      </c>
      <c r="C5" s="12" t="s">
        <v>13</v>
      </c>
      <c r="D5" s="12" t="s">
        <v>14</v>
      </c>
      <c r="E5" s="14">
        <v>1000.0</v>
      </c>
      <c r="F5" s="14"/>
      <c r="G5" s="15"/>
      <c r="H5" s="12"/>
      <c r="I5" s="16">
        <f t="shared" si="1"/>
        <v>1</v>
      </c>
      <c r="J5" s="14"/>
    </row>
    <row r="6" ht="16.5" customHeight="1">
      <c r="A6" s="7">
        <v>3.0</v>
      </c>
      <c r="B6" s="8" t="s">
        <v>16</v>
      </c>
      <c r="C6" s="7" t="s">
        <v>13</v>
      </c>
      <c r="D6" s="7" t="s">
        <v>14</v>
      </c>
      <c r="E6" s="9">
        <v>1000.0</v>
      </c>
      <c r="F6" s="9">
        <v>89.0</v>
      </c>
      <c r="G6" s="10">
        <f t="shared" ref="G6:G10" si="2">IF(E6&gt;0,F6/E6,"")</f>
        <v>0.089</v>
      </c>
      <c r="H6" s="7"/>
      <c r="I6" s="11">
        <f t="shared" si="1"/>
        <v>1</v>
      </c>
      <c r="J6" s="9">
        <f>IF(E6&gt;0,F6/E6*1000,"")</f>
        <v>89</v>
      </c>
    </row>
    <row r="7" ht="16.5" customHeight="1">
      <c r="A7" s="12">
        <v>4.0</v>
      </c>
      <c r="B7" s="13" t="s">
        <v>17</v>
      </c>
      <c r="C7" s="12" t="s">
        <v>13</v>
      </c>
      <c r="D7" s="12" t="s">
        <v>18</v>
      </c>
      <c r="E7" s="14">
        <v>90.0</v>
      </c>
      <c r="F7" s="14">
        <v>357.0</v>
      </c>
      <c r="G7" s="15">
        <f t="shared" si="2"/>
        <v>3.966666667</v>
      </c>
      <c r="H7" s="12"/>
      <c r="I7" s="16"/>
      <c r="J7" s="14"/>
    </row>
    <row r="8" ht="16.5" customHeight="1">
      <c r="A8" s="7">
        <v>5.0</v>
      </c>
      <c r="B8" s="8" t="s">
        <v>19</v>
      </c>
      <c r="C8" s="7" t="s">
        <v>13</v>
      </c>
      <c r="D8" s="7" t="s">
        <v>14</v>
      </c>
      <c r="E8" s="9">
        <v>1000.0</v>
      </c>
      <c r="F8" s="9">
        <v>65.0</v>
      </c>
      <c r="G8" s="10">
        <f t="shared" si="2"/>
        <v>0.065</v>
      </c>
      <c r="H8" s="7"/>
      <c r="I8" s="11">
        <f t="shared" ref="I8:I10" si="3">E8/1000</f>
        <v>1</v>
      </c>
      <c r="J8" s="9">
        <f t="shared" ref="J8:J10" si="4">IF(E8&gt;0,F8/E8*1000,"")</f>
        <v>65</v>
      </c>
    </row>
    <row r="9" ht="16.5" customHeight="1">
      <c r="A9" s="12">
        <v>6.0</v>
      </c>
      <c r="B9" s="13" t="s">
        <v>20</v>
      </c>
      <c r="C9" s="12" t="s">
        <v>13</v>
      </c>
      <c r="D9" s="12" t="s">
        <v>14</v>
      </c>
      <c r="E9" s="14">
        <v>660.0</v>
      </c>
      <c r="F9" s="14">
        <v>147.0</v>
      </c>
      <c r="G9" s="15">
        <f t="shared" si="2"/>
        <v>0.2227272727</v>
      </c>
      <c r="H9" s="12"/>
      <c r="I9" s="16">
        <f t="shared" si="3"/>
        <v>0.66</v>
      </c>
      <c r="J9" s="14">
        <f t="shared" si="4"/>
        <v>222.7272727</v>
      </c>
    </row>
    <row r="10" ht="16.5" customHeight="1">
      <c r="A10" s="7">
        <v>7.0</v>
      </c>
      <c r="B10" s="8" t="s">
        <v>21</v>
      </c>
      <c r="C10" s="7" t="s">
        <v>13</v>
      </c>
      <c r="D10" s="7" t="s">
        <v>14</v>
      </c>
      <c r="E10" s="9">
        <v>1000.0</v>
      </c>
      <c r="F10" s="9">
        <v>160.0</v>
      </c>
      <c r="G10" s="10">
        <f t="shared" si="2"/>
        <v>0.16</v>
      </c>
      <c r="H10" s="7"/>
      <c r="I10" s="11">
        <f t="shared" si="3"/>
        <v>1</v>
      </c>
      <c r="J10" s="9">
        <f t="shared" si="4"/>
        <v>160</v>
      </c>
    </row>
    <row r="11" ht="16.5" customHeight="1">
      <c r="A11" s="12">
        <v>8.0</v>
      </c>
      <c r="B11" s="13" t="s">
        <v>22</v>
      </c>
      <c r="C11" s="12" t="s">
        <v>13</v>
      </c>
      <c r="D11" s="12" t="s">
        <v>14</v>
      </c>
      <c r="E11" s="14"/>
      <c r="F11" s="14"/>
      <c r="G11" s="15"/>
      <c r="H11" s="12"/>
      <c r="I11" s="16"/>
      <c r="J11" s="14"/>
    </row>
    <row r="12" ht="16.5" customHeight="1">
      <c r="A12" s="7">
        <v>9.0</v>
      </c>
      <c r="B12" s="8" t="s">
        <v>23</v>
      </c>
      <c r="C12" s="7" t="s">
        <v>13</v>
      </c>
      <c r="D12" s="7" t="s">
        <v>14</v>
      </c>
      <c r="E12" s="9">
        <v>1000.0</v>
      </c>
      <c r="F12" s="9">
        <v>192.0</v>
      </c>
      <c r="G12" s="10">
        <f t="shared" ref="G12:G15" si="5">IF(E12&gt;0,F12/E12,"")</f>
        <v>0.192</v>
      </c>
      <c r="H12" s="7"/>
      <c r="I12" s="11">
        <f t="shared" ref="I12:I13" si="6">E12/1000</f>
        <v>1</v>
      </c>
      <c r="J12" s="9">
        <f t="shared" ref="J12:J13" si="7">IF(E12&gt;0,F12/E12*1000,"")</f>
        <v>192</v>
      </c>
    </row>
    <row r="13" ht="16.5" customHeight="1">
      <c r="A13" s="12">
        <v>10.0</v>
      </c>
      <c r="B13" s="13" t="s">
        <v>24</v>
      </c>
      <c r="C13" s="12" t="s">
        <v>13</v>
      </c>
      <c r="D13" s="12" t="s">
        <v>14</v>
      </c>
      <c r="E13" s="14">
        <v>1000.0</v>
      </c>
      <c r="F13" s="14">
        <v>192.0</v>
      </c>
      <c r="G13" s="15">
        <f t="shared" si="5"/>
        <v>0.192</v>
      </c>
      <c r="H13" s="12"/>
      <c r="I13" s="16">
        <f t="shared" si="6"/>
        <v>1</v>
      </c>
      <c r="J13" s="14">
        <f t="shared" si="7"/>
        <v>192</v>
      </c>
    </row>
    <row r="14" ht="16.5" customHeight="1">
      <c r="A14" s="7">
        <v>11.0</v>
      </c>
      <c r="B14" s="8" t="s">
        <v>25</v>
      </c>
      <c r="C14" s="7" t="s">
        <v>13</v>
      </c>
      <c r="D14" s="7" t="s">
        <v>18</v>
      </c>
      <c r="E14" s="9">
        <v>50.0</v>
      </c>
      <c r="F14" s="9">
        <v>89.0</v>
      </c>
      <c r="G14" s="10">
        <f t="shared" si="5"/>
        <v>1.78</v>
      </c>
      <c r="H14" s="7"/>
      <c r="I14" s="11"/>
      <c r="J14" s="9"/>
    </row>
    <row r="15" ht="16.5" customHeight="1">
      <c r="A15" s="12">
        <v>12.0</v>
      </c>
      <c r="B15" s="13" t="s">
        <v>26</v>
      </c>
      <c r="C15" s="12" t="s">
        <v>13</v>
      </c>
      <c r="D15" s="12" t="s">
        <v>14</v>
      </c>
      <c r="E15" s="14">
        <v>900.0</v>
      </c>
      <c r="F15" s="14">
        <v>375.0</v>
      </c>
      <c r="G15" s="15">
        <f t="shared" si="5"/>
        <v>0.4166666667</v>
      </c>
      <c r="H15" s="12"/>
      <c r="I15" s="16">
        <f t="shared" ref="I15:I19" si="8">E15/1000</f>
        <v>0.9</v>
      </c>
      <c r="J15" s="14">
        <f>IF(E15&gt;0,F15/E15*1000,"")</f>
        <v>416.6666667</v>
      </c>
    </row>
    <row r="16" ht="16.5" customHeight="1">
      <c r="A16" s="7">
        <v>13.0</v>
      </c>
      <c r="B16" s="8" t="s">
        <v>27</v>
      </c>
      <c r="C16" s="7" t="s">
        <v>13</v>
      </c>
      <c r="D16" s="7" t="s">
        <v>14</v>
      </c>
      <c r="E16" s="9">
        <v>80.0</v>
      </c>
      <c r="F16" s="9"/>
      <c r="G16" s="10"/>
      <c r="H16" s="7"/>
      <c r="I16" s="11">
        <f t="shared" si="8"/>
        <v>0.08</v>
      </c>
      <c r="J16" s="9"/>
    </row>
    <row r="17" ht="16.5" customHeight="1">
      <c r="A17" s="12">
        <v>14.0</v>
      </c>
      <c r="B17" s="13" t="s">
        <v>28</v>
      </c>
      <c r="C17" s="12" t="s">
        <v>13</v>
      </c>
      <c r="D17" s="12" t="s">
        <v>14</v>
      </c>
      <c r="E17" s="14">
        <v>1000.0</v>
      </c>
      <c r="F17" s="14">
        <v>275.0</v>
      </c>
      <c r="G17" s="15">
        <f t="shared" ref="G17:G19" si="9">IF(E17&gt;0,F17/E17,"")</f>
        <v>0.275</v>
      </c>
      <c r="H17" s="12"/>
      <c r="I17" s="16">
        <f t="shared" si="8"/>
        <v>1</v>
      </c>
      <c r="J17" s="14">
        <f t="shared" ref="J17:J19" si="10">IF(E17&gt;0,F17/E17*1000,"")</f>
        <v>275</v>
      </c>
    </row>
    <row r="18" ht="16.5" customHeight="1">
      <c r="A18" s="7">
        <v>15.0</v>
      </c>
      <c r="B18" s="8" t="s">
        <v>29</v>
      </c>
      <c r="C18" s="7" t="s">
        <v>13</v>
      </c>
      <c r="D18" s="7" t="s">
        <v>14</v>
      </c>
      <c r="E18" s="9">
        <v>340.0</v>
      </c>
      <c r="F18" s="9">
        <v>120.0</v>
      </c>
      <c r="G18" s="10">
        <f t="shared" si="9"/>
        <v>0.3529411765</v>
      </c>
      <c r="H18" s="7"/>
      <c r="I18" s="11">
        <f t="shared" si="8"/>
        <v>0.34</v>
      </c>
      <c r="J18" s="9">
        <f t="shared" si="10"/>
        <v>352.9411765</v>
      </c>
    </row>
    <row r="19" ht="16.5" customHeight="1">
      <c r="A19" s="12">
        <v>16.0</v>
      </c>
      <c r="B19" s="13" t="s">
        <v>30</v>
      </c>
      <c r="C19" s="12" t="s">
        <v>13</v>
      </c>
      <c r="D19" s="12" t="s">
        <v>14</v>
      </c>
      <c r="E19" s="14">
        <v>1000.0</v>
      </c>
      <c r="F19" s="14">
        <v>230.0</v>
      </c>
      <c r="G19" s="15">
        <f t="shared" si="9"/>
        <v>0.23</v>
      </c>
      <c r="H19" s="12"/>
      <c r="I19" s="16">
        <f t="shared" si="8"/>
        <v>1</v>
      </c>
      <c r="J19" s="14">
        <f t="shared" si="10"/>
        <v>230</v>
      </c>
    </row>
    <row r="20" ht="16.5" customHeight="1">
      <c r="A20" s="7">
        <v>17.0</v>
      </c>
      <c r="B20" s="8" t="s">
        <v>31</v>
      </c>
      <c r="C20" s="7" t="s">
        <v>13</v>
      </c>
      <c r="D20" s="7" t="s">
        <v>14</v>
      </c>
      <c r="E20" s="9"/>
      <c r="F20" s="9"/>
      <c r="G20" s="10"/>
      <c r="H20" s="7"/>
      <c r="I20" s="11"/>
      <c r="J20" s="9"/>
    </row>
    <row r="21" ht="19.5" customHeight="1">
      <c r="A21" s="17" t="s">
        <v>32</v>
      </c>
      <c r="B21" s="18"/>
      <c r="C21" s="18"/>
      <c r="D21" s="18"/>
      <c r="E21" s="18"/>
      <c r="F21" s="18"/>
      <c r="G21" s="18"/>
      <c r="H21" s="18"/>
      <c r="I21" s="18"/>
      <c r="J21" s="18"/>
    </row>
    <row r="22" ht="16.5" customHeight="1">
      <c r="A22" s="19">
        <v>18.0</v>
      </c>
      <c r="B22" s="20" t="s">
        <v>33</v>
      </c>
      <c r="C22" s="19" t="s">
        <v>34</v>
      </c>
      <c r="D22" s="7" t="s">
        <v>14</v>
      </c>
      <c r="E22" s="21">
        <v>500.0</v>
      </c>
      <c r="F22" s="21">
        <v>150.0</v>
      </c>
      <c r="G22" s="22">
        <f t="shared" ref="G22:G23" si="11">IF(E22&gt;0,F22/E22,"")</f>
        <v>0.3</v>
      </c>
      <c r="H22" s="19"/>
      <c r="I22" s="23">
        <f t="shared" ref="I22:I23" si="12">E22/1000</f>
        <v>0.5</v>
      </c>
      <c r="J22" s="21">
        <f t="shared" ref="J22:J23" si="13">IF(E22&gt;0,F22/E22*1000,"")</f>
        <v>300</v>
      </c>
    </row>
    <row r="23" ht="16.5" customHeight="1">
      <c r="A23" s="24">
        <v>19.0</v>
      </c>
      <c r="B23" s="25" t="s">
        <v>35</v>
      </c>
      <c r="C23" s="24" t="s">
        <v>34</v>
      </c>
      <c r="D23" s="12" t="s">
        <v>14</v>
      </c>
      <c r="E23" s="26">
        <v>1000.0</v>
      </c>
      <c r="F23" s="26">
        <v>20.0</v>
      </c>
      <c r="G23" s="27">
        <f t="shared" si="11"/>
        <v>0.02</v>
      </c>
      <c r="H23" s="24"/>
      <c r="I23" s="28">
        <f t="shared" si="12"/>
        <v>1</v>
      </c>
      <c r="J23" s="26">
        <f t="shared" si="13"/>
        <v>20</v>
      </c>
    </row>
    <row r="24" ht="16.5" customHeight="1">
      <c r="A24" s="19">
        <v>20.0</v>
      </c>
      <c r="B24" s="20" t="s">
        <v>36</v>
      </c>
      <c r="C24" s="19" t="s">
        <v>34</v>
      </c>
      <c r="D24" s="7" t="s">
        <v>14</v>
      </c>
      <c r="E24" s="21"/>
      <c r="F24" s="21"/>
      <c r="G24" s="22"/>
      <c r="H24" s="19"/>
      <c r="I24" s="23"/>
      <c r="J24" s="21"/>
    </row>
    <row r="25" ht="16.5" customHeight="1">
      <c r="A25" s="24">
        <v>21.0</v>
      </c>
      <c r="B25" s="25" t="s">
        <v>37</v>
      </c>
      <c r="C25" s="24" t="s">
        <v>34</v>
      </c>
      <c r="D25" s="12" t="s">
        <v>14</v>
      </c>
      <c r="E25" s="26">
        <v>1000.0</v>
      </c>
      <c r="F25" s="26">
        <v>29.0</v>
      </c>
      <c r="G25" s="27">
        <f t="shared" ref="G25:G29" si="14">IF(E25&gt;0,F25/E25,"")</f>
        <v>0.029</v>
      </c>
      <c r="H25" s="24"/>
      <c r="I25" s="28">
        <f t="shared" ref="I25:I29" si="15">E25/1000</f>
        <v>1</v>
      </c>
      <c r="J25" s="26">
        <f t="shared" ref="J25:J29" si="16">IF(E25&gt;0,F25/E25*1000,"")</f>
        <v>29</v>
      </c>
    </row>
    <row r="26" ht="16.5" customHeight="1">
      <c r="A26" s="19">
        <v>22.0</v>
      </c>
      <c r="B26" s="20" t="s">
        <v>38</v>
      </c>
      <c r="C26" s="19" t="s">
        <v>34</v>
      </c>
      <c r="D26" s="7" t="s">
        <v>14</v>
      </c>
      <c r="E26" s="21">
        <v>1000.0</v>
      </c>
      <c r="F26" s="21">
        <v>35.0</v>
      </c>
      <c r="G26" s="22">
        <f t="shared" si="14"/>
        <v>0.035</v>
      </c>
      <c r="H26" s="19"/>
      <c r="I26" s="23">
        <f t="shared" si="15"/>
        <v>1</v>
      </c>
      <c r="J26" s="21">
        <f t="shared" si="16"/>
        <v>35</v>
      </c>
    </row>
    <row r="27" ht="16.5" customHeight="1">
      <c r="A27" s="24">
        <v>23.0</v>
      </c>
      <c r="B27" s="25" t="s">
        <v>39</v>
      </c>
      <c r="C27" s="24" t="s">
        <v>34</v>
      </c>
      <c r="D27" s="12" t="s">
        <v>14</v>
      </c>
      <c r="E27" s="26">
        <v>1000.0</v>
      </c>
      <c r="F27" s="26">
        <v>60.0</v>
      </c>
      <c r="G27" s="27">
        <f t="shared" si="14"/>
        <v>0.06</v>
      </c>
      <c r="H27" s="24"/>
      <c r="I27" s="28">
        <f t="shared" si="15"/>
        <v>1</v>
      </c>
      <c r="J27" s="26">
        <f t="shared" si="16"/>
        <v>60</v>
      </c>
    </row>
    <row r="28" ht="16.5" customHeight="1">
      <c r="A28" s="19">
        <v>24.0</v>
      </c>
      <c r="B28" s="20" t="s">
        <v>40</v>
      </c>
      <c r="C28" s="19" t="s">
        <v>34</v>
      </c>
      <c r="D28" s="7" t="s">
        <v>14</v>
      </c>
      <c r="E28" s="21">
        <v>1000.0</v>
      </c>
      <c r="F28" s="21">
        <v>83.0</v>
      </c>
      <c r="G28" s="22">
        <f t="shared" si="14"/>
        <v>0.083</v>
      </c>
      <c r="H28" s="19"/>
      <c r="I28" s="23">
        <f t="shared" si="15"/>
        <v>1</v>
      </c>
      <c r="J28" s="21">
        <f t="shared" si="16"/>
        <v>83</v>
      </c>
    </row>
    <row r="29" ht="16.5" customHeight="1">
      <c r="A29" s="24">
        <v>25.0</v>
      </c>
      <c r="B29" s="25" t="s">
        <v>41</v>
      </c>
      <c r="C29" s="24" t="s">
        <v>34</v>
      </c>
      <c r="D29" s="12" t="s">
        <v>14</v>
      </c>
      <c r="E29" s="26">
        <v>200.0</v>
      </c>
      <c r="F29" s="26">
        <v>15.0</v>
      </c>
      <c r="G29" s="27">
        <f t="shared" si="14"/>
        <v>0.075</v>
      </c>
      <c r="H29" s="24"/>
      <c r="I29" s="28">
        <f t="shared" si="15"/>
        <v>0.2</v>
      </c>
      <c r="J29" s="26">
        <f t="shared" si="16"/>
        <v>75</v>
      </c>
    </row>
    <row r="30" ht="16.5" customHeight="1">
      <c r="A30" s="19">
        <v>26.0</v>
      </c>
      <c r="B30" s="20" t="s">
        <v>42</v>
      </c>
      <c r="C30" s="19" t="s">
        <v>34</v>
      </c>
      <c r="D30" s="7" t="s">
        <v>14</v>
      </c>
      <c r="E30" s="19"/>
      <c r="F30" s="19"/>
      <c r="G30" s="19"/>
      <c r="H30" s="19"/>
      <c r="I30" s="19"/>
      <c r="J30" s="19"/>
    </row>
    <row r="31" ht="16.5" customHeight="1">
      <c r="A31" s="24">
        <v>27.0</v>
      </c>
      <c r="B31" s="25" t="s">
        <v>43</v>
      </c>
      <c r="C31" s="24" t="s">
        <v>34</v>
      </c>
      <c r="D31" s="12" t="s">
        <v>14</v>
      </c>
      <c r="E31" s="26">
        <v>1000.0</v>
      </c>
      <c r="F31" s="26">
        <v>87.0</v>
      </c>
      <c r="G31" s="27">
        <f t="shared" ref="G31:G38" si="17">IF(E31&gt;0,F31/E31,"")</f>
        <v>0.087</v>
      </c>
      <c r="H31" s="24"/>
      <c r="I31" s="28">
        <f t="shared" ref="I31:I38" si="18">E31/1000</f>
        <v>1</v>
      </c>
      <c r="J31" s="26">
        <f t="shared" ref="J31:J38" si="19">IF(E31&gt;0,F31/E31*1000,"")</f>
        <v>87</v>
      </c>
    </row>
    <row r="32" ht="16.5" customHeight="1">
      <c r="A32" s="19">
        <v>28.0</v>
      </c>
      <c r="B32" s="20" t="s">
        <v>44</v>
      </c>
      <c r="C32" s="19" t="s">
        <v>34</v>
      </c>
      <c r="D32" s="7" t="s">
        <v>14</v>
      </c>
      <c r="E32" s="21">
        <v>1000.0</v>
      </c>
      <c r="F32" s="21">
        <v>90.0</v>
      </c>
      <c r="G32" s="22">
        <f t="shared" si="17"/>
        <v>0.09</v>
      </c>
      <c r="H32" s="19"/>
      <c r="I32" s="23">
        <f t="shared" si="18"/>
        <v>1</v>
      </c>
      <c r="J32" s="21">
        <f t="shared" si="19"/>
        <v>90</v>
      </c>
    </row>
    <row r="33" ht="16.5" customHeight="1">
      <c r="A33" s="24">
        <v>29.0</v>
      </c>
      <c r="B33" s="25" t="s">
        <v>45</v>
      </c>
      <c r="C33" s="24" t="s">
        <v>34</v>
      </c>
      <c r="D33" s="7" t="s">
        <v>14</v>
      </c>
      <c r="E33" s="26">
        <v>1000.0</v>
      </c>
      <c r="F33" s="26">
        <v>110.0</v>
      </c>
      <c r="G33" s="27">
        <f t="shared" si="17"/>
        <v>0.11</v>
      </c>
      <c r="H33" s="24"/>
      <c r="I33" s="28">
        <f t="shared" si="18"/>
        <v>1</v>
      </c>
      <c r="J33" s="26">
        <f t="shared" si="19"/>
        <v>110</v>
      </c>
    </row>
    <row r="34" ht="16.5" customHeight="1">
      <c r="A34" s="19">
        <v>30.0</v>
      </c>
      <c r="B34" s="20" t="s">
        <v>46</v>
      </c>
      <c r="C34" s="19" t="s">
        <v>34</v>
      </c>
      <c r="D34" s="12" t="s">
        <v>14</v>
      </c>
      <c r="E34" s="21">
        <v>1000.0</v>
      </c>
      <c r="F34" s="21">
        <v>100.0</v>
      </c>
      <c r="G34" s="22">
        <f t="shared" si="17"/>
        <v>0.1</v>
      </c>
      <c r="H34" s="19"/>
      <c r="I34" s="23">
        <f t="shared" si="18"/>
        <v>1</v>
      </c>
      <c r="J34" s="21">
        <f t="shared" si="19"/>
        <v>100</v>
      </c>
    </row>
    <row r="35" ht="16.5" customHeight="1">
      <c r="A35" s="24">
        <v>31.0</v>
      </c>
      <c r="B35" s="25" t="s">
        <v>47</v>
      </c>
      <c r="C35" s="24" t="s">
        <v>34</v>
      </c>
      <c r="D35" s="7" t="s">
        <v>14</v>
      </c>
      <c r="E35" s="26">
        <v>1000.0</v>
      </c>
      <c r="F35" s="26">
        <v>80.0</v>
      </c>
      <c r="G35" s="27">
        <f t="shared" si="17"/>
        <v>0.08</v>
      </c>
      <c r="H35" s="24"/>
      <c r="I35" s="24">
        <f t="shared" si="18"/>
        <v>1</v>
      </c>
      <c r="J35" s="24">
        <f t="shared" si="19"/>
        <v>80</v>
      </c>
    </row>
    <row r="36" ht="16.5" customHeight="1">
      <c r="A36" s="19">
        <v>32.0</v>
      </c>
      <c r="B36" s="20" t="s">
        <v>48</v>
      </c>
      <c r="C36" s="19" t="s">
        <v>34</v>
      </c>
      <c r="D36" s="12" t="s">
        <v>14</v>
      </c>
      <c r="E36" s="21">
        <v>3000.0</v>
      </c>
      <c r="F36" s="21">
        <v>135.0</v>
      </c>
      <c r="G36" s="22">
        <f t="shared" si="17"/>
        <v>0.045</v>
      </c>
      <c r="H36" s="19"/>
      <c r="I36" s="19">
        <f t="shared" si="18"/>
        <v>3</v>
      </c>
      <c r="J36" s="19">
        <f t="shared" si="19"/>
        <v>45</v>
      </c>
    </row>
    <row r="37" ht="16.5" customHeight="1">
      <c r="A37" s="24">
        <v>33.0</v>
      </c>
      <c r="B37" s="25" t="s">
        <v>49</v>
      </c>
      <c r="C37" s="24" t="s">
        <v>34</v>
      </c>
      <c r="D37" s="7" t="s">
        <v>14</v>
      </c>
      <c r="E37" s="26">
        <v>1000.0</v>
      </c>
      <c r="F37" s="26">
        <v>100.0</v>
      </c>
      <c r="G37" s="27">
        <f t="shared" si="17"/>
        <v>0.1</v>
      </c>
      <c r="H37" s="24"/>
      <c r="I37" s="24">
        <f t="shared" si="18"/>
        <v>1</v>
      </c>
      <c r="J37" s="24">
        <f t="shared" si="19"/>
        <v>100</v>
      </c>
    </row>
    <row r="38" ht="16.5" customHeight="1">
      <c r="A38" s="19">
        <v>34.0</v>
      </c>
      <c r="B38" s="20" t="s">
        <v>50</v>
      </c>
      <c r="C38" s="19" t="s">
        <v>34</v>
      </c>
      <c r="D38" s="12" t="s">
        <v>14</v>
      </c>
      <c r="E38" s="21">
        <v>1000.0</v>
      </c>
      <c r="F38" s="21">
        <v>130.0</v>
      </c>
      <c r="G38" s="22">
        <f t="shared" si="17"/>
        <v>0.13</v>
      </c>
      <c r="H38" s="19"/>
      <c r="I38" s="23">
        <f t="shared" si="18"/>
        <v>1</v>
      </c>
      <c r="J38" s="21">
        <f t="shared" si="19"/>
        <v>130</v>
      </c>
    </row>
    <row r="39" ht="16.5" customHeight="1">
      <c r="A39" s="24">
        <v>35.0</v>
      </c>
      <c r="B39" s="25" t="s">
        <v>51</v>
      </c>
      <c r="C39" s="24" t="s">
        <v>34</v>
      </c>
      <c r="D39" s="7" t="s">
        <v>14</v>
      </c>
      <c r="E39" s="26"/>
      <c r="F39" s="26"/>
      <c r="G39" s="27"/>
      <c r="H39" s="24"/>
      <c r="I39" s="28"/>
      <c r="J39" s="26"/>
    </row>
    <row r="40" ht="16.5" customHeight="1">
      <c r="A40" s="19">
        <v>36.0</v>
      </c>
      <c r="B40" s="20" t="s">
        <v>52</v>
      </c>
      <c r="C40" s="19" t="s">
        <v>34</v>
      </c>
      <c r="D40" s="12" t="s">
        <v>14</v>
      </c>
      <c r="E40" s="21">
        <v>1000.0</v>
      </c>
      <c r="F40" s="21">
        <v>100.0</v>
      </c>
      <c r="G40" s="22">
        <f t="shared" ref="G40:G47" si="20">IF(E40&gt;0,F40/E40,"")</f>
        <v>0.1</v>
      </c>
      <c r="H40" s="19"/>
      <c r="I40" s="23">
        <f t="shared" ref="I40:I47" si="21">E40/1000</f>
        <v>1</v>
      </c>
      <c r="J40" s="21">
        <f t="shared" ref="J40:J47" si="22">IF(E40&gt;0,F40/E40*1000,"")</f>
        <v>100</v>
      </c>
    </row>
    <row r="41" ht="16.5" customHeight="1">
      <c r="A41" s="24">
        <v>37.0</v>
      </c>
      <c r="B41" s="25" t="s">
        <v>53</v>
      </c>
      <c r="C41" s="24" t="s">
        <v>34</v>
      </c>
      <c r="D41" s="7" t="s">
        <v>14</v>
      </c>
      <c r="E41" s="26">
        <v>1000.0</v>
      </c>
      <c r="F41" s="26">
        <v>200.0</v>
      </c>
      <c r="G41" s="27">
        <f t="shared" si="20"/>
        <v>0.2</v>
      </c>
      <c r="H41" s="24"/>
      <c r="I41" s="28">
        <f t="shared" si="21"/>
        <v>1</v>
      </c>
      <c r="J41" s="26">
        <f t="shared" si="22"/>
        <v>200</v>
      </c>
    </row>
    <row r="42" ht="16.5" customHeight="1">
      <c r="A42" s="19">
        <v>38.0</v>
      </c>
      <c r="B42" s="20" t="s">
        <v>54</v>
      </c>
      <c r="C42" s="19" t="s">
        <v>34</v>
      </c>
      <c r="D42" s="12" t="s">
        <v>14</v>
      </c>
      <c r="E42" s="21">
        <v>1000.0</v>
      </c>
      <c r="F42" s="21">
        <v>200.0</v>
      </c>
      <c r="G42" s="22">
        <f t="shared" si="20"/>
        <v>0.2</v>
      </c>
      <c r="H42" s="19"/>
      <c r="I42" s="23">
        <f t="shared" si="21"/>
        <v>1</v>
      </c>
      <c r="J42" s="21">
        <f t="shared" si="22"/>
        <v>200</v>
      </c>
    </row>
    <row r="43" ht="16.5" customHeight="1">
      <c r="A43" s="24">
        <v>39.0</v>
      </c>
      <c r="B43" s="25" t="s">
        <v>55</v>
      </c>
      <c r="C43" s="24" t="s">
        <v>34</v>
      </c>
      <c r="D43" s="7" t="s">
        <v>14</v>
      </c>
      <c r="E43" s="26">
        <v>1000.0</v>
      </c>
      <c r="F43" s="26">
        <v>200.0</v>
      </c>
      <c r="G43" s="27">
        <f t="shared" si="20"/>
        <v>0.2</v>
      </c>
      <c r="H43" s="24"/>
      <c r="I43" s="28">
        <f t="shared" si="21"/>
        <v>1</v>
      </c>
      <c r="J43" s="26">
        <f t="shared" si="22"/>
        <v>200</v>
      </c>
    </row>
    <row r="44" ht="16.5" customHeight="1">
      <c r="A44" s="19">
        <v>40.0</v>
      </c>
      <c r="B44" s="20" t="s">
        <v>56</v>
      </c>
      <c r="C44" s="19" t="s">
        <v>34</v>
      </c>
      <c r="D44" s="7" t="s">
        <v>14</v>
      </c>
      <c r="E44" s="21">
        <v>1000.0</v>
      </c>
      <c r="F44" s="21">
        <v>90.0</v>
      </c>
      <c r="G44" s="22">
        <f t="shared" si="20"/>
        <v>0.09</v>
      </c>
      <c r="H44" s="19"/>
      <c r="I44" s="23">
        <f t="shared" si="21"/>
        <v>1</v>
      </c>
      <c r="J44" s="21">
        <f t="shared" si="22"/>
        <v>90</v>
      </c>
    </row>
    <row r="45" ht="16.5" customHeight="1">
      <c r="A45" s="24">
        <v>41.0</v>
      </c>
      <c r="B45" s="25" t="s">
        <v>57</v>
      </c>
      <c r="C45" s="24" t="s">
        <v>34</v>
      </c>
      <c r="D45" s="7" t="s">
        <v>14</v>
      </c>
      <c r="E45" s="26">
        <v>1000.0</v>
      </c>
      <c r="F45" s="26">
        <v>34.0</v>
      </c>
      <c r="G45" s="27">
        <f t="shared" si="20"/>
        <v>0.034</v>
      </c>
      <c r="H45" s="24"/>
      <c r="I45" s="28">
        <f t="shared" si="21"/>
        <v>1</v>
      </c>
      <c r="J45" s="26">
        <f t="shared" si="22"/>
        <v>34</v>
      </c>
    </row>
    <row r="46" ht="16.5" customHeight="1">
      <c r="A46" s="19">
        <v>42.0</v>
      </c>
      <c r="B46" s="20" t="s">
        <v>58</v>
      </c>
      <c r="C46" s="19" t="s">
        <v>34</v>
      </c>
      <c r="D46" s="7" t="s">
        <v>14</v>
      </c>
      <c r="E46" s="21">
        <v>1000.0</v>
      </c>
      <c r="F46" s="21">
        <v>29.0</v>
      </c>
      <c r="G46" s="22">
        <f t="shared" si="20"/>
        <v>0.029</v>
      </c>
      <c r="H46" s="19"/>
      <c r="I46" s="23">
        <f t="shared" si="21"/>
        <v>1</v>
      </c>
      <c r="J46" s="21">
        <f t="shared" si="22"/>
        <v>29</v>
      </c>
    </row>
    <row r="47" ht="16.5" customHeight="1">
      <c r="A47" s="24">
        <v>43.0</v>
      </c>
      <c r="B47" s="25" t="s">
        <v>59</v>
      </c>
      <c r="C47" s="24" t="s">
        <v>34</v>
      </c>
      <c r="D47" s="7" t="s">
        <v>14</v>
      </c>
      <c r="E47" s="24">
        <v>1000.0</v>
      </c>
      <c r="F47" s="24">
        <v>100.0</v>
      </c>
      <c r="G47" s="24">
        <f t="shared" si="20"/>
        <v>0.1</v>
      </c>
      <c r="H47" s="24"/>
      <c r="I47" s="24">
        <f t="shared" si="21"/>
        <v>1</v>
      </c>
      <c r="J47" s="24">
        <f t="shared" si="22"/>
        <v>100</v>
      </c>
    </row>
    <row r="48" ht="16.5" customHeight="1">
      <c r="A48" s="19">
        <v>44.0</v>
      </c>
      <c r="B48" s="20" t="s">
        <v>60</v>
      </c>
      <c r="C48" s="19" t="s">
        <v>34</v>
      </c>
      <c r="D48" s="7" t="s">
        <v>14</v>
      </c>
      <c r="E48" s="21"/>
      <c r="F48" s="21"/>
      <c r="G48" s="22"/>
      <c r="H48" s="19"/>
      <c r="I48" s="23"/>
      <c r="J48" s="21"/>
    </row>
    <row r="49" ht="16.5" customHeight="1">
      <c r="A49" s="24">
        <v>45.0</v>
      </c>
      <c r="B49" s="25" t="s">
        <v>61</v>
      </c>
      <c r="C49" s="24" t="s">
        <v>34</v>
      </c>
      <c r="D49" s="7" t="s">
        <v>14</v>
      </c>
      <c r="E49" s="26">
        <v>300.0</v>
      </c>
      <c r="F49" s="26">
        <v>40.0</v>
      </c>
      <c r="G49" s="27">
        <f t="shared" ref="G49:G52" si="23">IF(E49&gt;0,F49/E49,"")</f>
        <v>0.1333333333</v>
      </c>
      <c r="H49" s="24"/>
      <c r="I49" s="28">
        <f t="shared" ref="I49:I52" si="24">E49/1000</f>
        <v>0.3</v>
      </c>
      <c r="J49" s="26">
        <f t="shared" ref="J49:J52" si="25">IF(E49&gt;0,F49/E49*1000,"")</f>
        <v>133.3333333</v>
      </c>
    </row>
    <row r="50" ht="16.5" customHeight="1">
      <c r="A50" s="19">
        <v>46.0</v>
      </c>
      <c r="B50" s="20" t="s">
        <v>62</v>
      </c>
      <c r="C50" s="19" t="s">
        <v>34</v>
      </c>
      <c r="D50" s="7" t="s">
        <v>14</v>
      </c>
      <c r="E50" s="21">
        <v>1000.0</v>
      </c>
      <c r="F50" s="21">
        <v>90.0</v>
      </c>
      <c r="G50" s="22">
        <f t="shared" si="23"/>
        <v>0.09</v>
      </c>
      <c r="H50" s="19"/>
      <c r="I50" s="23">
        <f t="shared" si="24"/>
        <v>1</v>
      </c>
      <c r="J50" s="21">
        <f t="shared" si="25"/>
        <v>90</v>
      </c>
    </row>
    <row r="51" ht="16.5" customHeight="1">
      <c r="A51" s="24">
        <v>47.0</v>
      </c>
      <c r="B51" s="25" t="s">
        <v>63</v>
      </c>
      <c r="C51" s="24" t="s">
        <v>34</v>
      </c>
      <c r="D51" s="7" t="s">
        <v>14</v>
      </c>
      <c r="E51" s="26">
        <v>300.0</v>
      </c>
      <c r="F51" s="26">
        <v>40.0</v>
      </c>
      <c r="G51" s="27">
        <f t="shared" si="23"/>
        <v>0.1333333333</v>
      </c>
      <c r="H51" s="24"/>
      <c r="I51" s="28">
        <f t="shared" si="24"/>
        <v>0.3</v>
      </c>
      <c r="J51" s="26">
        <f t="shared" si="25"/>
        <v>133.3333333</v>
      </c>
    </row>
    <row r="52" ht="16.5" customHeight="1">
      <c r="A52" s="19">
        <v>48.0</v>
      </c>
      <c r="B52" s="20" t="s">
        <v>64</v>
      </c>
      <c r="C52" s="19" t="s">
        <v>34</v>
      </c>
      <c r="D52" s="7" t="s">
        <v>14</v>
      </c>
      <c r="E52" s="21">
        <v>1000.0</v>
      </c>
      <c r="F52" s="21">
        <v>90.0</v>
      </c>
      <c r="G52" s="22">
        <f t="shared" si="23"/>
        <v>0.09</v>
      </c>
      <c r="H52" s="19"/>
      <c r="I52" s="23">
        <f t="shared" si="24"/>
        <v>1</v>
      </c>
      <c r="J52" s="21">
        <f t="shared" si="25"/>
        <v>90</v>
      </c>
    </row>
    <row r="53" ht="19.5" customHeight="1">
      <c r="A53" s="29" t="s">
        <v>65</v>
      </c>
      <c r="B53" s="30"/>
      <c r="C53" s="30"/>
      <c r="D53" s="30"/>
      <c r="E53" s="30"/>
      <c r="F53" s="30"/>
      <c r="G53" s="30"/>
      <c r="H53" s="30"/>
      <c r="I53" s="30"/>
      <c r="J53" s="30"/>
    </row>
    <row r="54" ht="16.5" customHeight="1">
      <c r="A54" s="31">
        <v>49.0</v>
      </c>
      <c r="B54" s="32" t="s">
        <v>66</v>
      </c>
      <c r="C54" s="31" t="s">
        <v>67</v>
      </c>
      <c r="D54" s="7" t="s">
        <v>14</v>
      </c>
      <c r="E54" s="33">
        <v>20.0</v>
      </c>
      <c r="F54" s="33"/>
      <c r="G54" s="34"/>
      <c r="H54" s="31"/>
      <c r="I54" s="35">
        <f t="shared" ref="I54:I56" si="26">E54/1000</f>
        <v>0.02</v>
      </c>
      <c r="J54" s="33"/>
    </row>
    <row r="55" ht="16.5" customHeight="1">
      <c r="A55" s="36">
        <v>50.0</v>
      </c>
      <c r="B55" s="37" t="s">
        <v>68</v>
      </c>
      <c r="C55" s="36" t="s">
        <v>67</v>
      </c>
      <c r="D55" s="12" t="s">
        <v>14</v>
      </c>
      <c r="E55" s="38">
        <v>100.0</v>
      </c>
      <c r="F55" s="38"/>
      <c r="G55" s="39"/>
      <c r="H55" s="36"/>
      <c r="I55" s="40">
        <f t="shared" si="26"/>
        <v>0.1</v>
      </c>
      <c r="J55" s="38"/>
    </row>
    <row r="56" ht="16.5" customHeight="1">
      <c r="A56" s="31">
        <v>51.0</v>
      </c>
      <c r="B56" s="32" t="s">
        <v>69</v>
      </c>
      <c r="C56" s="31" t="s">
        <v>67</v>
      </c>
      <c r="D56" s="7" t="s">
        <v>14</v>
      </c>
      <c r="E56" s="33">
        <v>1500.0</v>
      </c>
      <c r="F56" s="33">
        <v>57.0</v>
      </c>
      <c r="G56" s="34">
        <f>IF(E56&gt;0,F56/E56,"")</f>
        <v>0.038</v>
      </c>
      <c r="H56" s="31"/>
      <c r="I56" s="35">
        <f t="shared" si="26"/>
        <v>1.5</v>
      </c>
      <c r="J56" s="33">
        <f>IF(E56&gt;0,F56/E56*1000,"")</f>
        <v>38</v>
      </c>
    </row>
    <row r="57" ht="16.5" customHeight="1">
      <c r="A57" s="36">
        <v>52.0</v>
      </c>
      <c r="B57" s="37" t="s">
        <v>70</v>
      </c>
      <c r="C57" s="36" t="s">
        <v>67</v>
      </c>
      <c r="D57" s="12" t="s">
        <v>14</v>
      </c>
      <c r="E57" s="38"/>
      <c r="F57" s="38"/>
      <c r="G57" s="39"/>
      <c r="H57" s="36"/>
      <c r="I57" s="40"/>
      <c r="J57" s="38"/>
    </row>
    <row r="58" ht="16.5" customHeight="1">
      <c r="A58" s="31">
        <v>53.0</v>
      </c>
      <c r="B58" s="32" t="s">
        <v>71</v>
      </c>
      <c r="C58" s="31" t="s">
        <v>67</v>
      </c>
      <c r="D58" s="7" t="s">
        <v>14</v>
      </c>
      <c r="E58" s="33">
        <v>10000.0</v>
      </c>
      <c r="F58" s="33">
        <v>1300.0</v>
      </c>
      <c r="G58" s="34">
        <f t="shared" ref="G58:G59" si="27">IF(E58&gt;0,F58/E58,"")</f>
        <v>0.13</v>
      </c>
      <c r="H58" s="31"/>
      <c r="I58" s="35">
        <f t="shared" ref="I58:I63" si="28">E58/1000</f>
        <v>10</v>
      </c>
      <c r="J58" s="33">
        <f t="shared" ref="J58:J59" si="29">IF(E58&gt;0,F58/E58*1000,"")</f>
        <v>130</v>
      </c>
    </row>
    <row r="59" ht="16.5" customHeight="1">
      <c r="A59" s="36">
        <v>54.0</v>
      </c>
      <c r="B59" s="37" t="s">
        <v>72</v>
      </c>
      <c r="C59" s="36" t="s">
        <v>67</v>
      </c>
      <c r="D59" s="12" t="s">
        <v>14</v>
      </c>
      <c r="E59" s="38">
        <v>4000.0</v>
      </c>
      <c r="F59" s="38">
        <v>1350.0</v>
      </c>
      <c r="G59" s="39">
        <f t="shared" si="27"/>
        <v>0.3375</v>
      </c>
      <c r="H59" s="36"/>
      <c r="I59" s="40">
        <f t="shared" si="28"/>
        <v>4</v>
      </c>
      <c r="J59" s="38">
        <f t="shared" si="29"/>
        <v>337.5</v>
      </c>
    </row>
    <row r="60" ht="16.5" customHeight="1">
      <c r="A60" s="31">
        <v>55.0</v>
      </c>
      <c r="B60" s="32" t="s">
        <v>73</v>
      </c>
      <c r="C60" s="31" t="s">
        <v>67</v>
      </c>
      <c r="D60" s="7" t="s">
        <v>14</v>
      </c>
      <c r="E60" s="33">
        <v>50.0</v>
      </c>
      <c r="F60" s="33"/>
      <c r="G60" s="34"/>
      <c r="H60" s="31"/>
      <c r="I60" s="35">
        <f t="shared" si="28"/>
        <v>0.05</v>
      </c>
      <c r="J60" s="33"/>
    </row>
    <row r="61" ht="16.5" customHeight="1">
      <c r="A61" s="36">
        <v>56.0</v>
      </c>
      <c r="B61" s="37" t="s">
        <v>74</v>
      </c>
      <c r="C61" s="36" t="s">
        <v>67</v>
      </c>
      <c r="D61" s="12" t="s">
        <v>14</v>
      </c>
      <c r="E61" s="38">
        <v>70.0</v>
      </c>
      <c r="F61" s="38"/>
      <c r="G61" s="39"/>
      <c r="H61" s="36"/>
      <c r="I61" s="40">
        <f t="shared" si="28"/>
        <v>0.07</v>
      </c>
      <c r="J61" s="38"/>
    </row>
    <row r="62" ht="16.5" customHeight="1">
      <c r="A62" s="31">
        <v>57.0</v>
      </c>
      <c r="B62" s="32" t="s">
        <v>75</v>
      </c>
      <c r="C62" s="31" t="s">
        <v>67</v>
      </c>
      <c r="D62" s="7" t="s">
        <v>14</v>
      </c>
      <c r="E62" s="33">
        <v>2500.0</v>
      </c>
      <c r="F62" s="33">
        <v>450.0</v>
      </c>
      <c r="G62" s="34">
        <f t="shared" ref="G62:G63" si="30">IF(E62&gt;0,F62/E62,"")</f>
        <v>0.18</v>
      </c>
      <c r="H62" s="31"/>
      <c r="I62" s="35">
        <f t="shared" si="28"/>
        <v>2.5</v>
      </c>
      <c r="J62" s="33">
        <f t="shared" ref="J62:J63" si="31">IF(E62&gt;0,F62/E62*1000,"")</f>
        <v>180</v>
      </c>
    </row>
    <row r="63" ht="16.5" customHeight="1">
      <c r="A63" s="36">
        <v>58.0</v>
      </c>
      <c r="B63" s="37" t="s">
        <v>76</v>
      </c>
      <c r="C63" s="36" t="s">
        <v>67</v>
      </c>
      <c r="D63" s="7" t="s">
        <v>14</v>
      </c>
      <c r="E63" s="38">
        <v>10000.0</v>
      </c>
      <c r="F63" s="38">
        <v>1300.0</v>
      </c>
      <c r="G63" s="39">
        <f t="shared" si="30"/>
        <v>0.13</v>
      </c>
      <c r="H63" s="36"/>
      <c r="I63" s="40">
        <f t="shared" si="28"/>
        <v>10</v>
      </c>
      <c r="J63" s="38">
        <f t="shared" si="31"/>
        <v>130</v>
      </c>
    </row>
    <row r="64" ht="16.5" customHeight="1">
      <c r="A64" s="31">
        <v>59.0</v>
      </c>
      <c r="B64" s="32" t="s">
        <v>77</v>
      </c>
      <c r="C64" s="31" t="s">
        <v>67</v>
      </c>
      <c r="D64" s="7" t="s">
        <v>14</v>
      </c>
      <c r="E64" s="33"/>
      <c r="F64" s="33"/>
      <c r="G64" s="34"/>
      <c r="H64" s="31"/>
      <c r="I64" s="35"/>
      <c r="J64" s="33"/>
    </row>
    <row r="65" ht="16.5" customHeight="1">
      <c r="A65" s="36">
        <v>60.0</v>
      </c>
      <c r="B65" s="37" t="s">
        <v>78</v>
      </c>
      <c r="C65" s="36" t="s">
        <v>67</v>
      </c>
      <c r="D65" s="7" t="s">
        <v>14</v>
      </c>
      <c r="E65" s="36">
        <v>10000.0</v>
      </c>
      <c r="F65" s="36">
        <v>650.0</v>
      </c>
      <c r="G65" s="36">
        <f t="shared" ref="G65:G71" si="32">IF(E65&gt;0,F65/E65,"")</f>
        <v>0.065</v>
      </c>
      <c r="H65" s="36"/>
      <c r="I65" s="36">
        <f t="shared" ref="I65:I71" si="33">E65/1000</f>
        <v>10</v>
      </c>
      <c r="J65" s="36">
        <f t="shared" ref="J65:J71" si="34">IF(E65&gt;0,F65/E65*1000,"")</f>
        <v>65</v>
      </c>
    </row>
    <row r="66" ht="16.5" customHeight="1">
      <c r="A66" s="31">
        <v>61.0</v>
      </c>
      <c r="B66" s="32" t="s">
        <v>79</v>
      </c>
      <c r="C66" s="31" t="s">
        <v>67</v>
      </c>
      <c r="D66" s="7" t="s">
        <v>14</v>
      </c>
      <c r="E66" s="33">
        <v>1000.0</v>
      </c>
      <c r="F66" s="33">
        <v>110.0</v>
      </c>
      <c r="G66" s="34">
        <f t="shared" si="32"/>
        <v>0.11</v>
      </c>
      <c r="H66" s="31"/>
      <c r="I66" s="35">
        <f t="shared" si="33"/>
        <v>1</v>
      </c>
      <c r="J66" s="33">
        <f t="shared" si="34"/>
        <v>110</v>
      </c>
    </row>
    <row r="67" ht="16.5" customHeight="1">
      <c r="A67" s="36">
        <v>62.0</v>
      </c>
      <c r="B67" s="37" t="s">
        <v>80</v>
      </c>
      <c r="C67" s="36" t="s">
        <v>67</v>
      </c>
      <c r="D67" s="7" t="s">
        <v>14</v>
      </c>
      <c r="E67" s="38">
        <v>1000.0</v>
      </c>
      <c r="F67" s="38">
        <v>110.0</v>
      </c>
      <c r="G67" s="39">
        <f t="shared" si="32"/>
        <v>0.11</v>
      </c>
      <c r="H67" s="36"/>
      <c r="I67" s="40">
        <f t="shared" si="33"/>
        <v>1</v>
      </c>
      <c r="J67" s="38">
        <f t="shared" si="34"/>
        <v>110</v>
      </c>
    </row>
    <row r="68" ht="16.5" customHeight="1">
      <c r="A68" s="31">
        <v>63.0</v>
      </c>
      <c r="B68" s="32" t="s">
        <v>81</v>
      </c>
      <c r="C68" s="31" t="s">
        <v>67</v>
      </c>
      <c r="D68" s="7" t="s">
        <v>14</v>
      </c>
      <c r="E68" s="33">
        <v>1000.0</v>
      </c>
      <c r="F68" s="33">
        <v>15.0</v>
      </c>
      <c r="G68" s="34">
        <f t="shared" si="32"/>
        <v>0.015</v>
      </c>
      <c r="H68" s="31"/>
      <c r="I68" s="35">
        <f t="shared" si="33"/>
        <v>1</v>
      </c>
      <c r="J68" s="33">
        <f t="shared" si="34"/>
        <v>15</v>
      </c>
    </row>
    <row r="69" ht="16.5" customHeight="1">
      <c r="A69" s="36">
        <v>64.0</v>
      </c>
      <c r="B69" s="37" t="s">
        <v>82</v>
      </c>
      <c r="C69" s="36" t="s">
        <v>67</v>
      </c>
      <c r="D69" s="7" t="s">
        <v>14</v>
      </c>
      <c r="E69" s="38">
        <v>1000.0</v>
      </c>
      <c r="F69" s="38">
        <v>250.0</v>
      </c>
      <c r="G69" s="39">
        <f t="shared" si="32"/>
        <v>0.25</v>
      </c>
      <c r="H69" s="36"/>
      <c r="I69" s="40">
        <f t="shared" si="33"/>
        <v>1</v>
      </c>
      <c r="J69" s="38">
        <f t="shared" si="34"/>
        <v>250</v>
      </c>
    </row>
    <row r="70" ht="16.5" customHeight="1">
      <c r="A70" s="31">
        <v>65.0</v>
      </c>
      <c r="B70" s="32" t="s">
        <v>83</v>
      </c>
      <c r="C70" s="31" t="s">
        <v>67</v>
      </c>
      <c r="D70" s="7" t="s">
        <v>84</v>
      </c>
      <c r="E70" s="33">
        <v>650.0</v>
      </c>
      <c r="F70" s="33">
        <v>165.0</v>
      </c>
      <c r="G70" s="34">
        <f t="shared" si="32"/>
        <v>0.2538461538</v>
      </c>
      <c r="H70" s="31"/>
      <c r="I70" s="35">
        <f t="shared" si="33"/>
        <v>0.65</v>
      </c>
      <c r="J70" s="33">
        <f t="shared" si="34"/>
        <v>253.8461538</v>
      </c>
    </row>
    <row r="71" ht="16.5" customHeight="1">
      <c r="A71" s="36">
        <v>66.0</v>
      </c>
      <c r="B71" s="37" t="s">
        <v>85</v>
      </c>
      <c r="C71" s="36" t="s">
        <v>67</v>
      </c>
      <c r="D71" s="7" t="s">
        <v>14</v>
      </c>
      <c r="E71" s="38">
        <v>1000.0</v>
      </c>
      <c r="F71" s="38">
        <v>30.0</v>
      </c>
      <c r="G71" s="39">
        <f t="shared" si="32"/>
        <v>0.03</v>
      </c>
      <c r="H71" s="36"/>
      <c r="I71" s="40">
        <f t="shared" si="33"/>
        <v>1</v>
      </c>
      <c r="J71" s="38">
        <f t="shared" si="34"/>
        <v>30</v>
      </c>
    </row>
    <row r="72" ht="19.5" customHeight="1">
      <c r="A72" s="41" t="s">
        <v>86</v>
      </c>
      <c r="B72" s="42"/>
      <c r="C72" s="42"/>
      <c r="D72" s="42"/>
      <c r="E72" s="42"/>
      <c r="F72" s="42"/>
      <c r="G72" s="42"/>
      <c r="H72" s="42"/>
      <c r="I72" s="42"/>
      <c r="J72" s="42"/>
    </row>
    <row r="73" ht="16.5" customHeight="1">
      <c r="A73" s="43">
        <v>67.0</v>
      </c>
      <c r="B73" s="44" t="s">
        <v>87</v>
      </c>
      <c r="C73" s="43" t="s">
        <v>88</v>
      </c>
      <c r="D73" s="7" t="s">
        <v>18</v>
      </c>
      <c r="E73" s="45">
        <v>84.0</v>
      </c>
      <c r="F73" s="45">
        <v>389.0</v>
      </c>
      <c r="G73" s="46">
        <f t="shared" ref="G73:G74" si="35">IF(E73&gt;0,F73/E73,"")</f>
        <v>4.630952381</v>
      </c>
      <c r="H73" s="43"/>
      <c r="I73" s="47"/>
      <c r="J73" s="45"/>
    </row>
    <row r="74" ht="16.5" customHeight="1">
      <c r="A74" s="48">
        <v>68.0</v>
      </c>
      <c r="B74" s="49" t="s">
        <v>89</v>
      </c>
      <c r="C74" s="48" t="s">
        <v>88</v>
      </c>
      <c r="D74" s="7" t="s">
        <v>14</v>
      </c>
      <c r="E74" s="50">
        <v>50.0</v>
      </c>
      <c r="F74" s="50">
        <v>85.0</v>
      </c>
      <c r="G74" s="51">
        <f t="shared" si="35"/>
        <v>1.7</v>
      </c>
      <c r="H74" s="48"/>
      <c r="I74" s="52">
        <f>E74/1000</f>
        <v>0.05</v>
      </c>
      <c r="J74" s="50">
        <f>IF(E74&gt;0,F74/E74*1000,"")</f>
        <v>1700</v>
      </c>
    </row>
    <row r="75" ht="16.5" customHeight="1">
      <c r="A75" s="43">
        <v>69.0</v>
      </c>
      <c r="B75" s="44" t="s">
        <v>90</v>
      </c>
      <c r="C75" s="43" t="s">
        <v>88</v>
      </c>
      <c r="D75" s="7" t="s">
        <v>14</v>
      </c>
      <c r="E75" s="45"/>
      <c r="F75" s="45"/>
      <c r="G75" s="46"/>
      <c r="H75" s="43"/>
      <c r="I75" s="47"/>
      <c r="J75" s="45"/>
    </row>
    <row r="76" ht="16.5" customHeight="1">
      <c r="A76" s="48">
        <v>70.0</v>
      </c>
      <c r="B76" s="49" t="s">
        <v>91</v>
      </c>
      <c r="C76" s="48" t="s">
        <v>88</v>
      </c>
      <c r="D76" s="7" t="s">
        <v>14</v>
      </c>
      <c r="E76" s="50">
        <v>500.0</v>
      </c>
      <c r="F76" s="50">
        <v>35.0</v>
      </c>
      <c r="G76" s="51">
        <f t="shared" ref="G76:G79" si="36">IF(E76&gt;0,F76/E76,"")</f>
        <v>0.07</v>
      </c>
      <c r="H76" s="48"/>
      <c r="I76" s="52">
        <f t="shared" ref="I76:I78" si="37">E76/1000</f>
        <v>0.5</v>
      </c>
      <c r="J76" s="50">
        <f t="shared" ref="J76:J78" si="38">IF(E76&gt;0,F76/E76*1000,"")</f>
        <v>70</v>
      </c>
    </row>
    <row r="77" ht="16.5" customHeight="1">
      <c r="A77" s="43">
        <v>71.0</v>
      </c>
      <c r="B77" s="44" t="s">
        <v>92</v>
      </c>
      <c r="C77" s="43" t="s">
        <v>88</v>
      </c>
      <c r="D77" s="7" t="s">
        <v>14</v>
      </c>
      <c r="E77" s="45">
        <v>5000.0</v>
      </c>
      <c r="F77" s="45">
        <v>289.0</v>
      </c>
      <c r="G77" s="46">
        <f t="shared" si="36"/>
        <v>0.0578</v>
      </c>
      <c r="H77" s="43"/>
      <c r="I77" s="47">
        <f t="shared" si="37"/>
        <v>5</v>
      </c>
      <c r="J77" s="45">
        <f t="shared" si="38"/>
        <v>57.8</v>
      </c>
    </row>
    <row r="78" ht="16.5" customHeight="1">
      <c r="A78" s="48">
        <v>72.0</v>
      </c>
      <c r="B78" s="49" t="s">
        <v>93</v>
      </c>
      <c r="C78" s="48" t="s">
        <v>88</v>
      </c>
      <c r="D78" s="7" t="s">
        <v>14</v>
      </c>
      <c r="E78" s="50">
        <v>1000.0</v>
      </c>
      <c r="F78" s="50">
        <v>130.0</v>
      </c>
      <c r="G78" s="51">
        <f t="shared" si="36"/>
        <v>0.13</v>
      </c>
      <c r="H78" s="48"/>
      <c r="I78" s="52">
        <f t="shared" si="37"/>
        <v>1</v>
      </c>
      <c r="J78" s="50">
        <f t="shared" si="38"/>
        <v>130</v>
      </c>
    </row>
    <row r="79" ht="16.5" customHeight="1">
      <c r="A79" s="43">
        <v>73.0</v>
      </c>
      <c r="B79" s="44" t="s">
        <v>94</v>
      </c>
      <c r="C79" s="43" t="s">
        <v>88</v>
      </c>
      <c r="D79" s="7" t="s">
        <v>18</v>
      </c>
      <c r="E79" s="45">
        <v>1.0</v>
      </c>
      <c r="F79" s="45">
        <v>33.0</v>
      </c>
      <c r="G79" s="46">
        <f t="shared" si="36"/>
        <v>33</v>
      </c>
      <c r="H79" s="43"/>
      <c r="I79" s="47"/>
      <c r="J79" s="45"/>
    </row>
    <row r="80" ht="16.5" customHeight="1">
      <c r="A80" s="48">
        <v>74.0</v>
      </c>
      <c r="B80" s="49" t="s">
        <v>95</v>
      </c>
      <c r="C80" s="48" t="s">
        <v>88</v>
      </c>
      <c r="D80" s="7" t="s">
        <v>14</v>
      </c>
      <c r="E80" s="50"/>
      <c r="F80" s="50"/>
      <c r="G80" s="51"/>
      <c r="H80" s="48"/>
      <c r="I80" s="52"/>
      <c r="J80" s="50"/>
    </row>
    <row r="81" ht="16.5" customHeight="1">
      <c r="A81" s="43">
        <v>75.0</v>
      </c>
      <c r="B81" s="44" t="s">
        <v>96</v>
      </c>
      <c r="C81" s="43" t="s">
        <v>88</v>
      </c>
      <c r="D81" s="7" t="s">
        <v>14</v>
      </c>
      <c r="E81" s="45">
        <v>50.0</v>
      </c>
      <c r="F81" s="45">
        <v>85.0</v>
      </c>
      <c r="G81" s="46">
        <f t="shared" ref="G81:G83" si="39">IF(E81&gt;0,F81/E81,"")</f>
        <v>1.7</v>
      </c>
      <c r="H81" s="43"/>
      <c r="I81" s="47">
        <f t="shared" ref="I81:I83" si="40">E81/1000</f>
        <v>0.05</v>
      </c>
      <c r="J81" s="45">
        <f t="shared" ref="J81:J83" si="41">IF(E81&gt;0,F81/E81*1000,"")</f>
        <v>1700</v>
      </c>
    </row>
    <row r="82" ht="16.5" customHeight="1">
      <c r="A82" s="48">
        <v>76.0</v>
      </c>
      <c r="B82" s="49" t="s">
        <v>97</v>
      </c>
      <c r="C82" s="48" t="s">
        <v>88</v>
      </c>
      <c r="D82" s="7" t="s">
        <v>14</v>
      </c>
      <c r="E82" s="48">
        <v>500.0</v>
      </c>
      <c r="F82" s="48">
        <v>70.0</v>
      </c>
      <c r="G82" s="48">
        <f t="shared" si="39"/>
        <v>0.14</v>
      </c>
      <c r="H82" s="48"/>
      <c r="I82" s="48">
        <f t="shared" si="40"/>
        <v>0.5</v>
      </c>
      <c r="J82" s="48">
        <f t="shared" si="41"/>
        <v>140</v>
      </c>
    </row>
    <row r="83" ht="16.5" customHeight="1">
      <c r="A83" s="43">
        <v>77.0</v>
      </c>
      <c r="B83" s="44" t="s">
        <v>98</v>
      </c>
      <c r="C83" s="43" t="s">
        <v>88</v>
      </c>
      <c r="D83" s="7" t="s">
        <v>14</v>
      </c>
      <c r="E83" s="45">
        <v>1000.0</v>
      </c>
      <c r="F83" s="45">
        <v>78.0</v>
      </c>
      <c r="G83" s="46">
        <f t="shared" si="39"/>
        <v>0.078</v>
      </c>
      <c r="H83" s="43"/>
      <c r="I83" s="47">
        <f t="shared" si="40"/>
        <v>1</v>
      </c>
      <c r="J83" s="45">
        <f t="shared" si="41"/>
        <v>78</v>
      </c>
    </row>
    <row r="84" ht="16.5" customHeight="1">
      <c r="A84" s="48">
        <v>78.0</v>
      </c>
      <c r="B84" s="49" t="s">
        <v>99</v>
      </c>
      <c r="C84" s="48" t="s">
        <v>88</v>
      </c>
      <c r="D84" s="7" t="s">
        <v>14</v>
      </c>
      <c r="E84" s="50">
        <v>0.0</v>
      </c>
      <c r="F84" s="50">
        <v>0.0</v>
      </c>
      <c r="G84" s="51">
        <v>0.0</v>
      </c>
      <c r="H84" s="48"/>
      <c r="I84" s="52">
        <v>0.0</v>
      </c>
      <c r="J84" s="50">
        <v>0.0</v>
      </c>
    </row>
    <row r="85" ht="16.5" customHeight="1">
      <c r="A85" s="43">
        <v>79.0</v>
      </c>
      <c r="B85" s="44" t="s">
        <v>100</v>
      </c>
      <c r="C85" s="43" t="s">
        <v>88</v>
      </c>
      <c r="D85" s="7" t="s">
        <v>14</v>
      </c>
      <c r="E85" s="45">
        <v>1000.0</v>
      </c>
      <c r="F85" s="45">
        <v>50.0</v>
      </c>
      <c r="G85" s="46">
        <f>IF(E85&gt;0,F85/E85,"")</f>
        <v>0.05</v>
      </c>
      <c r="H85" s="43"/>
      <c r="I85" s="47">
        <f>E85/1000</f>
        <v>1</v>
      </c>
      <c r="J85" s="45">
        <f>IF(E85&gt;0,F85/E85*1000,"")</f>
        <v>50</v>
      </c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</row>
    <row r="102" ht="19.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</row>
    <row r="126" ht="19.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</row>
    <row r="132" ht="19.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</row>
    <row r="136" ht="19.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</row>
    <row r="146" ht="19.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</row>
    <row r="197" ht="19.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</row>
    <row r="217" ht="19.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</row>
  </sheetData>
  <dataValidations>
    <dataValidation type="list" allowBlank="1" showErrorMessage="1" sqref="D4:D20 D22:D52 D54:D71 D73:D85">
      <formula1>"g,Pcs,ML"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0"/>
    <col customWidth="1" min="2" max="2" width="26.63"/>
    <col customWidth="1" min="3" max="3" width="74.0"/>
    <col customWidth="1" min="4" max="4" width="11.0"/>
    <col customWidth="1" min="5" max="5" width="22.0"/>
    <col customWidth="1" min="6" max="6" width="24.0"/>
    <col customWidth="1" min="7" max="7" width="30.0"/>
  </cols>
  <sheetData>
    <row r="1" ht="24.0" customHeight="1">
      <c r="A1" s="54" t="s">
        <v>101</v>
      </c>
      <c r="B1" s="55"/>
      <c r="C1" s="55"/>
      <c r="D1" s="55"/>
      <c r="E1" s="55"/>
      <c r="F1" s="55"/>
      <c r="G1" s="56"/>
    </row>
    <row r="2" ht="18.0" customHeight="1">
      <c r="A2" s="57" t="s">
        <v>102</v>
      </c>
      <c r="B2" s="55"/>
      <c r="C2" s="55"/>
      <c r="D2" s="55"/>
      <c r="E2" s="55"/>
      <c r="F2" s="55"/>
      <c r="G2" s="56"/>
    </row>
    <row r="3" ht="19.5" customHeight="1">
      <c r="A3" s="58" t="s">
        <v>103</v>
      </c>
      <c r="B3" s="55"/>
      <c r="C3" s="55"/>
      <c r="D3" s="55"/>
      <c r="E3" s="55"/>
      <c r="F3" s="55"/>
      <c r="G3" s="56"/>
    </row>
    <row r="4" ht="19.5" customHeight="1">
      <c r="A4" s="59" t="s">
        <v>104</v>
      </c>
      <c r="B4" s="55"/>
      <c r="C4" s="55"/>
      <c r="D4" s="55"/>
      <c r="E4" s="55"/>
      <c r="F4" s="55"/>
      <c r="G4" s="56"/>
    </row>
    <row r="5" ht="18.0" customHeight="1">
      <c r="A5" s="60" t="s">
        <v>1</v>
      </c>
      <c r="B5" s="61" t="s">
        <v>105</v>
      </c>
      <c r="C5" s="61" t="s">
        <v>106</v>
      </c>
      <c r="D5" s="62" t="s">
        <v>107</v>
      </c>
      <c r="E5" s="60" t="s">
        <v>108</v>
      </c>
      <c r="F5" s="60" t="s">
        <v>109</v>
      </c>
      <c r="G5" s="60" t="s">
        <v>110</v>
      </c>
    </row>
    <row r="6" ht="27.75" customHeight="1">
      <c r="A6" s="63">
        <v>1.0</v>
      </c>
      <c r="B6" s="64" t="s">
        <v>111</v>
      </c>
      <c r="C6" s="65" t="s">
        <v>112</v>
      </c>
      <c r="D6" s="66">
        <v>50.0</v>
      </c>
      <c r="E6" s="63" t="s">
        <v>113</v>
      </c>
      <c r="F6" s="67" t="s">
        <v>114</v>
      </c>
      <c r="G6" s="65"/>
    </row>
    <row r="7" ht="27.75" customHeight="1">
      <c r="A7" s="68">
        <v>2.0</v>
      </c>
      <c r="B7" s="69" t="s">
        <v>115</v>
      </c>
      <c r="C7" s="70" t="s">
        <v>116</v>
      </c>
      <c r="D7" s="71">
        <v>45.0</v>
      </c>
      <c r="E7" s="68" t="s">
        <v>113</v>
      </c>
      <c r="F7" s="72" t="s">
        <v>114</v>
      </c>
      <c r="G7" s="70"/>
    </row>
    <row r="8" ht="27.75" customHeight="1">
      <c r="A8" s="63">
        <v>3.0</v>
      </c>
      <c r="B8" s="64" t="s">
        <v>117</v>
      </c>
      <c r="C8" s="73" t="s">
        <v>118</v>
      </c>
      <c r="D8" s="66">
        <v>45.0</v>
      </c>
      <c r="E8" s="63" t="s">
        <v>113</v>
      </c>
      <c r="F8" s="67" t="s">
        <v>114</v>
      </c>
      <c r="G8" s="65"/>
    </row>
    <row r="9" ht="26.25" customHeight="1">
      <c r="A9" s="63">
        <v>4.0</v>
      </c>
      <c r="B9" s="74" t="s">
        <v>119</v>
      </c>
      <c r="C9" s="75" t="s">
        <v>120</v>
      </c>
      <c r="D9" s="76">
        <v>45.0</v>
      </c>
      <c r="E9" s="77" t="s">
        <v>113</v>
      </c>
      <c r="F9" s="78" t="s">
        <v>114</v>
      </c>
      <c r="G9" s="79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21.75" customHeight="1">
      <c r="A10" s="68">
        <v>5.0</v>
      </c>
      <c r="B10" s="64" t="s">
        <v>121</v>
      </c>
      <c r="C10" s="81" t="s">
        <v>122</v>
      </c>
      <c r="D10" s="82">
        <v>50.0</v>
      </c>
      <c r="E10" s="83" t="s">
        <v>113</v>
      </c>
      <c r="F10" s="84" t="s">
        <v>114</v>
      </c>
      <c r="G10" s="85"/>
    </row>
    <row r="11" ht="18.0" customHeight="1">
      <c r="A11" s="63">
        <v>6.0</v>
      </c>
      <c r="B11" s="69" t="s">
        <v>123</v>
      </c>
      <c r="C11" s="86" t="s">
        <v>124</v>
      </c>
      <c r="D11" s="87">
        <v>45.0</v>
      </c>
      <c r="E11" s="68" t="s">
        <v>113</v>
      </c>
      <c r="F11" s="72" t="s">
        <v>114</v>
      </c>
      <c r="G11" s="72"/>
    </row>
    <row r="12" ht="15.75" customHeight="1">
      <c r="A12" s="68">
        <v>8.0</v>
      </c>
      <c r="B12" s="69" t="s">
        <v>125</v>
      </c>
      <c r="C12" s="86" t="s">
        <v>126</v>
      </c>
      <c r="D12" s="71">
        <v>45.0</v>
      </c>
      <c r="E12" s="68" t="s">
        <v>113</v>
      </c>
      <c r="F12" s="72" t="s">
        <v>114</v>
      </c>
      <c r="G12" s="86"/>
    </row>
    <row r="13" ht="15.75" customHeight="1">
      <c r="A13" s="63">
        <v>9.0</v>
      </c>
      <c r="B13" s="64" t="s">
        <v>127</v>
      </c>
      <c r="C13" s="88" t="s">
        <v>128</v>
      </c>
      <c r="D13" s="66">
        <v>50.0</v>
      </c>
      <c r="E13" s="63" t="s">
        <v>113</v>
      </c>
      <c r="F13" s="67" t="s">
        <v>114</v>
      </c>
      <c r="G13" s="88"/>
    </row>
    <row r="14" ht="15.75" customHeight="1">
      <c r="A14" s="63">
        <v>10.0</v>
      </c>
      <c r="B14" s="69" t="s">
        <v>129</v>
      </c>
      <c r="C14" s="86" t="s">
        <v>130</v>
      </c>
      <c r="D14" s="71">
        <v>50.0</v>
      </c>
      <c r="E14" s="68" t="s">
        <v>113</v>
      </c>
      <c r="F14" s="72" t="s">
        <v>114</v>
      </c>
      <c r="G14" s="86"/>
    </row>
    <row r="15" ht="15.75" customHeight="1">
      <c r="A15" s="68">
        <v>11.0</v>
      </c>
      <c r="B15" s="64" t="s">
        <v>131</v>
      </c>
      <c r="C15" s="88" t="s">
        <v>132</v>
      </c>
      <c r="D15" s="66">
        <v>50.0</v>
      </c>
      <c r="E15" s="63" t="s">
        <v>113</v>
      </c>
      <c r="F15" s="67" t="s">
        <v>114</v>
      </c>
      <c r="G15" s="88"/>
    </row>
    <row r="16" ht="15.75" customHeight="1">
      <c r="A16" s="63">
        <v>12.0</v>
      </c>
      <c r="B16" s="69" t="s">
        <v>133</v>
      </c>
      <c r="C16" s="86" t="s">
        <v>134</v>
      </c>
      <c r="D16" s="71">
        <v>45.0</v>
      </c>
      <c r="E16" s="68" t="s">
        <v>113</v>
      </c>
      <c r="F16" s="72" t="s">
        <v>114</v>
      </c>
      <c r="G16" s="86"/>
    </row>
    <row r="17" ht="24.0" customHeight="1">
      <c r="A17" s="89"/>
      <c r="B17" s="90"/>
      <c r="C17" s="90"/>
      <c r="D17" s="91"/>
      <c r="E17" s="92"/>
      <c r="F17" s="92"/>
      <c r="G17" s="92"/>
    </row>
    <row r="18" ht="19.5" customHeight="1">
      <c r="A18" s="93" t="s">
        <v>135</v>
      </c>
      <c r="B18" s="55"/>
      <c r="C18" s="55"/>
      <c r="D18" s="55"/>
      <c r="E18" s="55"/>
      <c r="F18" s="55"/>
      <c r="G18" s="56"/>
    </row>
    <row r="19" ht="27.75" customHeight="1">
      <c r="A19" s="60" t="s">
        <v>1</v>
      </c>
      <c r="B19" s="61" t="s">
        <v>105</v>
      </c>
      <c r="C19" s="61" t="s">
        <v>106</v>
      </c>
      <c r="D19" s="94" t="s">
        <v>107</v>
      </c>
      <c r="E19" s="60" t="s">
        <v>108</v>
      </c>
      <c r="F19" s="60" t="s">
        <v>109</v>
      </c>
      <c r="G19" s="60" t="s">
        <v>110</v>
      </c>
    </row>
    <row r="20" ht="27.75" customHeight="1">
      <c r="A20" s="63">
        <v>14.0</v>
      </c>
      <c r="B20" s="64" t="s">
        <v>136</v>
      </c>
      <c r="C20" s="65" t="s">
        <v>137</v>
      </c>
      <c r="D20" s="66">
        <v>280.0</v>
      </c>
      <c r="E20" s="63" t="s">
        <v>113</v>
      </c>
      <c r="F20" s="67" t="s">
        <v>114</v>
      </c>
      <c r="G20" s="65"/>
    </row>
    <row r="21" ht="27.75" customHeight="1">
      <c r="A21" s="68">
        <v>15.0</v>
      </c>
      <c r="B21" s="95" t="s">
        <v>138</v>
      </c>
      <c r="C21" s="70" t="s">
        <v>139</v>
      </c>
      <c r="D21" s="71">
        <v>280.0</v>
      </c>
      <c r="E21" s="68" t="s">
        <v>113</v>
      </c>
      <c r="F21" s="72" t="s">
        <v>114</v>
      </c>
      <c r="G21" s="70"/>
    </row>
    <row r="22" ht="27.75" customHeight="1">
      <c r="A22" s="63">
        <v>16.0</v>
      </c>
      <c r="B22" s="96" t="s">
        <v>140</v>
      </c>
      <c r="C22" s="65" t="s">
        <v>141</v>
      </c>
      <c r="D22" s="66">
        <v>280.0</v>
      </c>
      <c r="E22" s="63" t="s">
        <v>113</v>
      </c>
      <c r="F22" s="67" t="s">
        <v>114</v>
      </c>
      <c r="G22" s="65"/>
    </row>
    <row r="23" ht="27.75" customHeight="1">
      <c r="A23" s="68">
        <v>17.0</v>
      </c>
      <c r="B23" s="95" t="s">
        <v>142</v>
      </c>
      <c r="C23" s="70" t="s">
        <v>143</v>
      </c>
      <c r="D23" s="71">
        <v>300.0</v>
      </c>
      <c r="E23" s="68" t="s">
        <v>113</v>
      </c>
      <c r="F23" s="72" t="s">
        <v>114</v>
      </c>
      <c r="G23" s="70"/>
    </row>
    <row r="24" ht="27.75" customHeight="1">
      <c r="A24" s="63">
        <v>18.0</v>
      </c>
      <c r="B24" s="96" t="s">
        <v>144</v>
      </c>
      <c r="C24" s="65" t="s">
        <v>145</v>
      </c>
      <c r="D24" s="66">
        <v>360.0</v>
      </c>
      <c r="E24" s="63" t="s">
        <v>113</v>
      </c>
      <c r="F24" s="67" t="s">
        <v>114</v>
      </c>
      <c r="G24" s="65"/>
    </row>
    <row r="25" ht="27.75" customHeight="1">
      <c r="A25" s="68">
        <v>19.0</v>
      </c>
      <c r="B25" s="97" t="s">
        <v>40</v>
      </c>
      <c r="C25" s="98" t="s">
        <v>146</v>
      </c>
      <c r="D25" s="99">
        <v>200.0</v>
      </c>
      <c r="E25" s="100" t="s">
        <v>113</v>
      </c>
      <c r="F25" s="101" t="s">
        <v>114</v>
      </c>
      <c r="G25" s="97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9.5" customHeight="1">
      <c r="A26" s="63">
        <v>20.0</v>
      </c>
      <c r="B26" s="103" t="s">
        <v>147</v>
      </c>
      <c r="C26" s="104" t="s">
        <v>148</v>
      </c>
      <c r="D26" s="105">
        <v>220.0</v>
      </c>
      <c r="E26" s="106" t="s">
        <v>113</v>
      </c>
      <c r="F26" s="107" t="s">
        <v>114</v>
      </c>
      <c r="G26" s="103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27.75" customHeight="1">
      <c r="A27" s="68">
        <v>21.0</v>
      </c>
      <c r="B27" s="95" t="s">
        <v>149</v>
      </c>
      <c r="C27" s="86" t="s">
        <v>150</v>
      </c>
      <c r="D27" s="71">
        <v>280.0</v>
      </c>
      <c r="E27" s="68" t="s">
        <v>113</v>
      </c>
      <c r="F27" s="72" t="s">
        <v>114</v>
      </c>
      <c r="G27" s="72"/>
    </row>
    <row r="28" ht="27.75" customHeight="1">
      <c r="A28" s="63">
        <v>22.0</v>
      </c>
      <c r="B28" s="96" t="s">
        <v>151</v>
      </c>
      <c r="C28" s="65" t="s">
        <v>152</v>
      </c>
      <c r="D28" s="66">
        <v>280.0</v>
      </c>
      <c r="E28" s="63" t="s">
        <v>113</v>
      </c>
      <c r="F28" s="67" t="s">
        <v>114</v>
      </c>
      <c r="G28" s="65"/>
    </row>
    <row r="29" ht="27.75" customHeight="1">
      <c r="A29" s="109"/>
      <c r="B29" s="110"/>
      <c r="C29" s="111"/>
      <c r="D29" s="112"/>
      <c r="E29" s="109"/>
      <c r="F29" s="109"/>
      <c r="G29" s="111"/>
    </row>
    <row r="30" ht="19.5" customHeight="1">
      <c r="A30" s="113" t="s">
        <v>153</v>
      </c>
      <c r="B30" s="55"/>
      <c r="C30" s="55"/>
      <c r="D30" s="55"/>
      <c r="E30" s="55"/>
      <c r="F30" s="55"/>
      <c r="G30" s="56"/>
    </row>
    <row r="31" ht="27.75" customHeight="1">
      <c r="A31" s="60" t="s">
        <v>1</v>
      </c>
      <c r="B31" s="61" t="s">
        <v>105</v>
      </c>
      <c r="C31" s="61" t="s">
        <v>106</v>
      </c>
      <c r="D31" s="94" t="s">
        <v>107</v>
      </c>
      <c r="E31" s="60" t="s">
        <v>108</v>
      </c>
      <c r="F31" s="60" t="s">
        <v>109</v>
      </c>
      <c r="G31" s="60" t="s">
        <v>110</v>
      </c>
    </row>
    <row r="32" ht="27.75" customHeight="1">
      <c r="A32" s="63">
        <v>23.0</v>
      </c>
      <c r="B32" s="114" t="s">
        <v>154</v>
      </c>
      <c r="C32" s="115" t="s">
        <v>155</v>
      </c>
      <c r="D32" s="116">
        <v>380.0</v>
      </c>
      <c r="E32" s="117" t="s">
        <v>113</v>
      </c>
      <c r="F32" s="118" t="s">
        <v>114</v>
      </c>
      <c r="G32" s="11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27.75" customHeight="1">
      <c r="A33" s="68">
        <v>26.0</v>
      </c>
      <c r="B33" s="95" t="s">
        <v>156</v>
      </c>
      <c r="C33" s="70" t="s">
        <v>157</v>
      </c>
      <c r="D33" s="71">
        <v>360.0</v>
      </c>
      <c r="E33" s="68" t="s">
        <v>113</v>
      </c>
      <c r="F33" s="72" t="s">
        <v>114</v>
      </c>
      <c r="G33" s="70"/>
    </row>
    <row r="34" ht="27.75" customHeight="1">
      <c r="A34" s="63">
        <v>27.0</v>
      </c>
      <c r="B34" s="64" t="s">
        <v>158</v>
      </c>
      <c r="C34" s="65" t="s">
        <v>159</v>
      </c>
      <c r="D34" s="66">
        <v>380.0</v>
      </c>
      <c r="E34" s="63" t="s">
        <v>113</v>
      </c>
      <c r="F34" s="67" t="s">
        <v>114</v>
      </c>
      <c r="G34" s="65"/>
    </row>
    <row r="35" ht="15.75" customHeight="1">
      <c r="A35" s="77">
        <v>28.0</v>
      </c>
      <c r="B35" s="120" t="s">
        <v>160</v>
      </c>
      <c r="C35" s="121" t="s">
        <v>161</v>
      </c>
      <c r="D35" s="76">
        <v>380.0</v>
      </c>
      <c r="E35" s="77" t="s">
        <v>113</v>
      </c>
      <c r="F35" s="78" t="s">
        <v>114</v>
      </c>
      <c r="G35" s="122"/>
    </row>
    <row r="36" ht="24.0" customHeight="1">
      <c r="A36" s="63">
        <v>29.0</v>
      </c>
      <c r="B36" s="123" t="s">
        <v>162</v>
      </c>
      <c r="C36" s="124" t="s">
        <v>163</v>
      </c>
      <c r="D36" s="82">
        <v>890.0</v>
      </c>
      <c r="E36" s="83" t="s">
        <v>113</v>
      </c>
      <c r="F36" s="84" t="s">
        <v>114</v>
      </c>
      <c r="G36" s="125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8.0" customHeight="1">
      <c r="A37" s="68">
        <v>30.0</v>
      </c>
      <c r="B37" s="95" t="s">
        <v>164</v>
      </c>
      <c r="C37" s="86" t="s">
        <v>165</v>
      </c>
      <c r="D37" s="87">
        <v>360.0</v>
      </c>
      <c r="E37" s="68" t="s">
        <v>113</v>
      </c>
      <c r="F37" s="72" t="s">
        <v>114</v>
      </c>
      <c r="G37" s="72"/>
    </row>
    <row r="38" ht="27.75" customHeight="1">
      <c r="A38" s="63">
        <v>31.0</v>
      </c>
      <c r="B38" s="96" t="s">
        <v>166</v>
      </c>
      <c r="C38" s="65" t="s">
        <v>167</v>
      </c>
      <c r="D38" s="66">
        <v>380.0</v>
      </c>
      <c r="E38" s="63" t="s">
        <v>113</v>
      </c>
      <c r="F38" s="67" t="s">
        <v>114</v>
      </c>
      <c r="G38" s="65"/>
    </row>
    <row r="39" ht="19.5" customHeight="1">
      <c r="A39" s="68">
        <v>32.0</v>
      </c>
      <c r="B39" s="126" t="s">
        <v>168</v>
      </c>
      <c r="C39" s="121" t="s">
        <v>169</v>
      </c>
      <c r="D39" s="76">
        <v>320.0</v>
      </c>
      <c r="E39" s="77" t="s">
        <v>113</v>
      </c>
      <c r="F39" s="78" t="s">
        <v>114</v>
      </c>
      <c r="G39" s="122"/>
    </row>
    <row r="40" ht="15.75" customHeight="1">
      <c r="A40" s="83">
        <v>33.0</v>
      </c>
      <c r="B40" s="127" t="s">
        <v>170</v>
      </c>
      <c r="C40" s="124" t="s">
        <v>171</v>
      </c>
      <c r="D40" s="82">
        <v>360.0</v>
      </c>
      <c r="E40" s="83" t="s">
        <v>113</v>
      </c>
      <c r="F40" s="84" t="s">
        <v>114</v>
      </c>
      <c r="G40" s="84"/>
    </row>
    <row r="41" ht="24.0" customHeight="1">
      <c r="A41" s="63">
        <v>35.0</v>
      </c>
      <c r="B41" s="128" t="s">
        <v>172</v>
      </c>
      <c r="C41" s="129" t="s">
        <v>173</v>
      </c>
      <c r="D41" s="82">
        <v>690.0</v>
      </c>
      <c r="E41" s="83" t="s">
        <v>113</v>
      </c>
      <c r="F41" s="84" t="s">
        <v>114</v>
      </c>
      <c r="G41" s="85"/>
    </row>
    <row r="42" ht="18.0" customHeight="1">
      <c r="A42" s="68">
        <v>36.0</v>
      </c>
      <c r="B42" s="95" t="s">
        <v>174</v>
      </c>
      <c r="C42" s="86" t="s">
        <v>175</v>
      </c>
      <c r="D42" s="130">
        <v>320.0</v>
      </c>
      <c r="E42" s="68" t="s">
        <v>113</v>
      </c>
      <c r="F42" s="72" t="s">
        <v>114</v>
      </c>
      <c r="G42" s="72"/>
    </row>
    <row r="43" ht="18.0" customHeight="1">
      <c r="A43" s="63"/>
      <c r="B43" s="96"/>
      <c r="C43" s="88"/>
      <c r="D43" s="63"/>
      <c r="E43" s="63"/>
      <c r="F43" s="67"/>
      <c r="G43" s="63"/>
    </row>
    <row r="44" ht="18.0" customHeight="1">
      <c r="A44" s="63"/>
      <c r="B44" s="96"/>
      <c r="C44" s="88"/>
      <c r="D44" s="63"/>
      <c r="E44" s="63"/>
      <c r="F44" s="67"/>
      <c r="G44" s="63"/>
    </row>
    <row r="45" ht="19.5" customHeight="1">
      <c r="A45" s="131" t="s">
        <v>176</v>
      </c>
      <c r="B45" s="55"/>
      <c r="C45" s="55"/>
      <c r="D45" s="55"/>
      <c r="E45" s="55"/>
      <c r="F45" s="55"/>
      <c r="G45" s="56"/>
    </row>
    <row r="46" ht="27.75" customHeight="1">
      <c r="A46" s="60" t="s">
        <v>1</v>
      </c>
      <c r="B46" s="61" t="s">
        <v>105</v>
      </c>
      <c r="C46" s="61" t="s">
        <v>106</v>
      </c>
      <c r="D46" s="132" t="s">
        <v>107</v>
      </c>
      <c r="E46" s="60" t="s">
        <v>108</v>
      </c>
      <c r="F46" s="60" t="s">
        <v>109</v>
      </c>
      <c r="G46" s="60" t="s">
        <v>110</v>
      </c>
    </row>
    <row r="47" ht="19.5" customHeight="1">
      <c r="A47" s="63">
        <v>37.0</v>
      </c>
      <c r="B47" s="128" t="s">
        <v>177</v>
      </c>
      <c r="C47" s="129" t="s">
        <v>178</v>
      </c>
      <c r="D47" s="82">
        <v>320.0</v>
      </c>
      <c r="E47" s="83" t="s">
        <v>113</v>
      </c>
      <c r="F47" s="84" t="s">
        <v>114</v>
      </c>
      <c r="G47" s="85"/>
    </row>
    <row r="48" ht="27.75" customHeight="1">
      <c r="A48" s="68">
        <v>38.0</v>
      </c>
      <c r="B48" s="133" t="s">
        <v>179</v>
      </c>
      <c r="C48" s="134" t="s">
        <v>180</v>
      </c>
      <c r="D48" s="135">
        <v>360.0</v>
      </c>
      <c r="E48" s="136" t="s">
        <v>113</v>
      </c>
      <c r="F48" s="137" t="s">
        <v>114</v>
      </c>
      <c r="G48" s="138"/>
    </row>
    <row r="49" ht="27.75" customHeight="1">
      <c r="A49" s="63">
        <v>39.0</v>
      </c>
      <c r="B49" s="96" t="s">
        <v>181</v>
      </c>
      <c r="C49" s="65" t="s">
        <v>182</v>
      </c>
      <c r="D49" s="66">
        <v>340.0</v>
      </c>
      <c r="E49" s="63" t="s">
        <v>113</v>
      </c>
      <c r="F49" s="67" t="s">
        <v>114</v>
      </c>
      <c r="G49" s="65"/>
    </row>
    <row r="50" ht="15.75" customHeight="1">
      <c r="A50" s="139">
        <v>40.0</v>
      </c>
      <c r="B50" s="139" t="s">
        <v>183</v>
      </c>
      <c r="C50" s="53"/>
      <c r="D50" s="139">
        <v>200.0</v>
      </c>
      <c r="E50" s="53"/>
      <c r="F50" s="53"/>
      <c r="G50" s="53"/>
    </row>
    <row r="51" ht="27.75" customHeight="1">
      <c r="A51" s="68"/>
      <c r="B51" s="95"/>
      <c r="C51" s="70"/>
      <c r="D51" s="140"/>
      <c r="E51" s="68"/>
      <c r="F51" s="72"/>
      <c r="G51" s="141"/>
    </row>
    <row r="52" ht="27.75" customHeight="1">
      <c r="A52" s="60" t="s">
        <v>1</v>
      </c>
      <c r="B52" s="61" t="s">
        <v>105</v>
      </c>
      <c r="C52" s="61" t="s">
        <v>106</v>
      </c>
      <c r="D52" s="94" t="s">
        <v>107</v>
      </c>
      <c r="E52" s="60" t="s">
        <v>108</v>
      </c>
      <c r="F52" s="60" t="s">
        <v>109</v>
      </c>
      <c r="G52" s="60" t="s">
        <v>110</v>
      </c>
    </row>
    <row r="53" ht="19.5" customHeight="1">
      <c r="A53" s="82">
        <v>41.0</v>
      </c>
      <c r="B53" s="128" t="s">
        <v>184</v>
      </c>
      <c r="C53" s="129" t="s">
        <v>185</v>
      </c>
      <c r="D53" s="82">
        <v>280.0</v>
      </c>
      <c r="E53" s="83" t="s">
        <v>113</v>
      </c>
      <c r="F53" s="84" t="s">
        <v>114</v>
      </c>
      <c r="G53" s="85"/>
    </row>
    <row r="54" ht="24.0" customHeight="1">
      <c r="A54" s="87">
        <v>42.0</v>
      </c>
      <c r="B54" s="74" t="s">
        <v>186</v>
      </c>
      <c r="C54" s="142" t="s">
        <v>187</v>
      </c>
      <c r="D54" s="76">
        <v>300.0</v>
      </c>
      <c r="E54" s="77" t="s">
        <v>113</v>
      </c>
      <c r="F54" s="78" t="s">
        <v>114</v>
      </c>
      <c r="G54" s="78"/>
    </row>
    <row r="55" ht="18.0" customHeight="1">
      <c r="A55" s="82">
        <v>43.0</v>
      </c>
      <c r="B55" s="96" t="s">
        <v>188</v>
      </c>
      <c r="C55" s="88" t="s">
        <v>189</v>
      </c>
      <c r="D55" s="143">
        <v>320.0</v>
      </c>
      <c r="E55" s="63" t="s">
        <v>113</v>
      </c>
      <c r="F55" s="67" t="s">
        <v>114</v>
      </c>
      <c r="G55" s="67"/>
    </row>
    <row r="56" ht="19.5" customHeight="1">
      <c r="A56" s="82">
        <v>45.0</v>
      </c>
      <c r="B56" s="128" t="s">
        <v>190</v>
      </c>
      <c r="C56" s="129" t="s">
        <v>191</v>
      </c>
      <c r="D56" s="82">
        <v>300.0</v>
      </c>
      <c r="E56" s="83" t="s">
        <v>113</v>
      </c>
      <c r="F56" s="84" t="s">
        <v>114</v>
      </c>
      <c r="G56" s="85"/>
    </row>
    <row r="57" ht="27.75" customHeight="1">
      <c r="A57" s="87">
        <v>46.0</v>
      </c>
      <c r="B57" s="95" t="s">
        <v>192</v>
      </c>
      <c r="C57" s="86" t="s">
        <v>193</v>
      </c>
      <c r="D57" s="71">
        <v>320.0</v>
      </c>
      <c r="E57" s="68" t="s">
        <v>113</v>
      </c>
      <c r="F57" s="72" t="s">
        <v>114</v>
      </c>
      <c r="G57" s="72"/>
    </row>
    <row r="58" ht="27.75" customHeight="1">
      <c r="A58" s="82"/>
      <c r="B58" s="96"/>
      <c r="C58" s="65"/>
      <c r="D58" s="144"/>
      <c r="E58" s="63"/>
      <c r="F58" s="67"/>
      <c r="G58" s="65"/>
    </row>
    <row r="59" ht="27.75" customHeight="1">
      <c r="A59" s="68"/>
      <c r="B59" s="95"/>
      <c r="C59" s="70"/>
      <c r="D59" s="140"/>
      <c r="E59" s="68"/>
      <c r="F59" s="72"/>
      <c r="G59" s="141"/>
    </row>
    <row r="60" ht="19.5" customHeight="1">
      <c r="A60" s="113" t="s">
        <v>194</v>
      </c>
      <c r="B60" s="55"/>
      <c r="C60" s="55"/>
      <c r="D60" s="55"/>
      <c r="E60" s="55"/>
      <c r="F60" s="55"/>
      <c r="G60" s="56"/>
    </row>
    <row r="61" ht="15.75" customHeight="1">
      <c r="A61" s="145" t="s">
        <v>1</v>
      </c>
      <c r="B61" s="146" t="s">
        <v>105</v>
      </c>
      <c r="C61" s="146" t="s">
        <v>106</v>
      </c>
      <c r="D61" s="147" t="s">
        <v>107</v>
      </c>
      <c r="E61" s="145" t="s">
        <v>108</v>
      </c>
      <c r="F61" s="145" t="s">
        <v>109</v>
      </c>
      <c r="G61" s="145" t="s">
        <v>110</v>
      </c>
    </row>
    <row r="62" ht="19.5" customHeight="1">
      <c r="A62" s="63">
        <v>47.0</v>
      </c>
      <c r="B62" s="148" t="s">
        <v>195</v>
      </c>
      <c r="C62" s="129" t="s">
        <v>196</v>
      </c>
      <c r="D62" s="82">
        <v>360.0</v>
      </c>
      <c r="E62" s="83" t="s">
        <v>113</v>
      </c>
      <c r="F62" s="84" t="s">
        <v>114</v>
      </c>
      <c r="G62" s="85"/>
    </row>
    <row r="63" ht="18.0" customHeight="1">
      <c r="A63" s="68">
        <v>48.0</v>
      </c>
      <c r="B63" s="95" t="s">
        <v>197</v>
      </c>
      <c r="C63" s="86" t="s">
        <v>196</v>
      </c>
      <c r="D63" s="87">
        <v>380.0</v>
      </c>
      <c r="E63" s="68" t="s">
        <v>113</v>
      </c>
      <c r="F63" s="72" t="s">
        <v>114</v>
      </c>
      <c r="G63" s="72"/>
    </row>
    <row r="64" ht="27.75" customHeight="1">
      <c r="A64" s="63">
        <v>49.0</v>
      </c>
      <c r="B64" s="64" t="s">
        <v>198</v>
      </c>
      <c r="C64" s="65" t="s">
        <v>196</v>
      </c>
      <c r="D64" s="66">
        <v>380.0</v>
      </c>
      <c r="E64" s="63" t="s">
        <v>113</v>
      </c>
      <c r="F64" s="67" t="s">
        <v>114</v>
      </c>
      <c r="G64" s="65"/>
    </row>
    <row r="65" ht="27.75" customHeight="1">
      <c r="A65" s="68">
        <v>50.0</v>
      </c>
      <c r="B65" s="69" t="s">
        <v>199</v>
      </c>
      <c r="C65" s="149" t="s">
        <v>200</v>
      </c>
      <c r="D65" s="71">
        <v>360.0</v>
      </c>
      <c r="E65" s="68" t="s">
        <v>113</v>
      </c>
      <c r="F65" s="72" t="s">
        <v>114</v>
      </c>
      <c r="G65" s="70"/>
    </row>
    <row r="66" ht="27.75" customHeight="1">
      <c r="A66" s="63"/>
      <c r="B66" s="96"/>
      <c r="C66" s="65"/>
      <c r="D66" s="144"/>
      <c r="E66" s="63"/>
      <c r="F66" s="67"/>
      <c r="G66" s="150"/>
    </row>
    <row r="67" ht="19.5" customHeight="1">
      <c r="A67" s="151" t="s">
        <v>201</v>
      </c>
      <c r="B67" s="55"/>
      <c r="C67" s="55"/>
      <c r="D67" s="55"/>
      <c r="E67" s="55"/>
      <c r="F67" s="55"/>
      <c r="G67" s="56"/>
    </row>
    <row r="68" ht="27.75" customHeight="1">
      <c r="A68" s="60" t="s">
        <v>1</v>
      </c>
      <c r="B68" s="61" t="s">
        <v>105</v>
      </c>
      <c r="C68" s="61" t="s">
        <v>106</v>
      </c>
      <c r="D68" s="94" t="s">
        <v>107</v>
      </c>
      <c r="E68" s="60" t="s">
        <v>108</v>
      </c>
      <c r="F68" s="60" t="s">
        <v>109</v>
      </c>
      <c r="G68" s="60" t="s">
        <v>110</v>
      </c>
    </row>
    <row r="69" ht="19.5" customHeight="1">
      <c r="A69" s="63">
        <v>49.0</v>
      </c>
      <c r="B69" s="148" t="s">
        <v>202</v>
      </c>
      <c r="C69" s="129"/>
      <c r="D69" s="83"/>
      <c r="E69" s="83" t="s">
        <v>113</v>
      </c>
      <c r="F69" s="84" t="s">
        <v>114</v>
      </c>
      <c r="G69" s="85"/>
    </row>
    <row r="70" ht="27.75" customHeight="1">
      <c r="A70" s="68">
        <v>50.0</v>
      </c>
      <c r="B70" s="95" t="s">
        <v>203</v>
      </c>
      <c r="C70" s="86"/>
      <c r="D70" s="152"/>
      <c r="E70" s="68" t="s">
        <v>113</v>
      </c>
      <c r="F70" s="72" t="s">
        <v>114</v>
      </c>
      <c r="G70" s="72"/>
    </row>
    <row r="71" ht="27.75" customHeight="1">
      <c r="A71" s="63">
        <v>51.0</v>
      </c>
      <c r="B71" s="96" t="s">
        <v>204</v>
      </c>
      <c r="C71" s="65"/>
      <c r="D71" s="144"/>
      <c r="E71" s="63" t="s">
        <v>113</v>
      </c>
      <c r="F71" s="67" t="s">
        <v>114</v>
      </c>
      <c r="G71" s="65"/>
    </row>
    <row r="72" ht="27.75" customHeight="1">
      <c r="A72" s="68">
        <v>52.0</v>
      </c>
      <c r="B72" s="95" t="s">
        <v>205</v>
      </c>
      <c r="C72" s="70"/>
      <c r="D72" s="140"/>
      <c r="E72" s="68" t="s">
        <v>113</v>
      </c>
      <c r="F72" s="72" t="s">
        <v>114</v>
      </c>
      <c r="G72" s="70"/>
    </row>
    <row r="73" ht="27.75" customHeight="1">
      <c r="A73" s="63">
        <v>53.0</v>
      </c>
      <c r="B73" s="96" t="s">
        <v>206</v>
      </c>
      <c r="C73" s="65"/>
      <c r="D73" s="144"/>
      <c r="E73" s="63" t="s">
        <v>113</v>
      </c>
      <c r="F73" s="67" t="s">
        <v>114</v>
      </c>
      <c r="G73" s="65"/>
    </row>
    <row r="74" ht="19.5" customHeight="1">
      <c r="A74" s="68">
        <v>54.0</v>
      </c>
      <c r="B74" s="126" t="s">
        <v>207</v>
      </c>
      <c r="C74" s="121"/>
      <c r="D74" s="77"/>
      <c r="E74" s="77" t="s">
        <v>113</v>
      </c>
      <c r="F74" s="78" t="s">
        <v>114</v>
      </c>
      <c r="G74" s="122"/>
    </row>
    <row r="75" ht="27.75" customHeight="1">
      <c r="A75" s="63">
        <v>55.0</v>
      </c>
      <c r="B75" s="114" t="s">
        <v>208</v>
      </c>
      <c r="C75" s="115"/>
      <c r="D75" s="117"/>
      <c r="E75" s="63" t="s">
        <v>113</v>
      </c>
      <c r="F75" s="118" t="s">
        <v>114</v>
      </c>
      <c r="G75" s="153"/>
    </row>
    <row r="76" ht="27.75" customHeight="1">
      <c r="A76" s="68">
        <v>56.0</v>
      </c>
      <c r="B76" s="95" t="s">
        <v>209</v>
      </c>
      <c r="C76" s="70"/>
      <c r="D76" s="140"/>
      <c r="E76" s="68" t="s">
        <v>113</v>
      </c>
      <c r="F76" s="72" t="s">
        <v>114</v>
      </c>
      <c r="G76" s="70"/>
    </row>
    <row r="77" ht="27.75" customHeight="1">
      <c r="A77" s="63">
        <v>57.0</v>
      </c>
      <c r="B77" s="96" t="s">
        <v>210</v>
      </c>
      <c r="C77" s="65"/>
      <c r="D77" s="144"/>
      <c r="E77" s="63" t="s">
        <v>113</v>
      </c>
      <c r="F77" s="67" t="s">
        <v>114</v>
      </c>
      <c r="G77" s="65"/>
    </row>
    <row r="78" ht="27.75" customHeight="1">
      <c r="A78" s="68"/>
      <c r="B78" s="95"/>
      <c r="C78" s="70"/>
      <c r="D78" s="140"/>
      <c r="E78" s="68"/>
      <c r="F78" s="72"/>
      <c r="G78" s="154"/>
    </row>
    <row r="79" ht="19.5" customHeight="1">
      <c r="A79" s="155" t="s">
        <v>211</v>
      </c>
      <c r="B79" s="55"/>
      <c r="C79" s="55"/>
      <c r="D79" s="55"/>
      <c r="E79" s="55"/>
      <c r="F79" s="55"/>
      <c r="G79" s="56"/>
    </row>
    <row r="80" ht="15.75" customHeight="1">
      <c r="A80" s="145" t="s">
        <v>1</v>
      </c>
      <c r="B80" s="146" t="s">
        <v>105</v>
      </c>
      <c r="C80" s="146" t="s">
        <v>106</v>
      </c>
      <c r="D80" s="147" t="s">
        <v>107</v>
      </c>
      <c r="E80" s="145" t="s">
        <v>108</v>
      </c>
      <c r="F80" s="145" t="s">
        <v>109</v>
      </c>
      <c r="G80" s="145" t="s">
        <v>110</v>
      </c>
    </row>
    <row r="81" ht="15.75" customHeight="1">
      <c r="A81" s="53"/>
      <c r="B81" s="53"/>
      <c r="C81" s="53"/>
      <c r="D81" s="53"/>
      <c r="E81" s="53"/>
      <c r="F81" s="53"/>
      <c r="G81" s="53"/>
    </row>
    <row r="82" ht="15.75" customHeight="1">
      <c r="A82" s="53"/>
      <c r="B82" s="53"/>
      <c r="C82" s="53"/>
      <c r="D82" s="53"/>
      <c r="E82" s="53"/>
      <c r="F82" s="53"/>
      <c r="G82" s="53"/>
    </row>
    <row r="83" ht="19.5" customHeight="1">
      <c r="A83" s="156"/>
      <c r="B83" s="157"/>
      <c r="C83" s="157"/>
      <c r="D83" s="53"/>
      <c r="E83" s="53"/>
      <c r="F83" s="53"/>
      <c r="G83" s="53"/>
    </row>
    <row r="84" ht="27.75" customHeight="1">
      <c r="A84" s="89"/>
      <c r="B84" s="158"/>
      <c r="C84" s="158"/>
      <c r="D84" s="159"/>
      <c r="E84" s="89"/>
      <c r="F84" s="89"/>
      <c r="G84" s="89"/>
    </row>
    <row r="85" ht="27.75" customHeight="1">
      <c r="A85" s="109"/>
      <c r="B85" s="110"/>
      <c r="C85" s="111"/>
      <c r="D85" s="112"/>
      <c r="E85" s="109"/>
      <c r="F85" s="109"/>
      <c r="G85" s="111"/>
    </row>
    <row r="86" ht="27.75" customHeight="1">
      <c r="A86" s="109"/>
      <c r="B86" s="110"/>
      <c r="C86" s="111"/>
      <c r="D86" s="112"/>
      <c r="E86" s="109"/>
      <c r="F86" s="109"/>
      <c r="G86" s="111"/>
    </row>
    <row r="87" ht="27.75" customHeight="1">
      <c r="A87" s="109"/>
      <c r="B87" s="110"/>
      <c r="C87" s="111"/>
      <c r="D87" s="112"/>
      <c r="E87" s="109"/>
      <c r="F87" s="109"/>
      <c r="G87" s="111"/>
    </row>
    <row r="88" ht="27.75" customHeight="1">
      <c r="A88" s="160"/>
      <c r="B88" s="161"/>
      <c r="C88" s="162"/>
      <c r="D88" s="163"/>
      <c r="E88" s="164"/>
      <c r="F88" s="165"/>
      <c r="G88" s="166"/>
    </row>
    <row r="89" ht="19.5" customHeight="1">
      <c r="A89" s="156"/>
      <c r="B89" s="157"/>
      <c r="C89" s="157"/>
      <c r="D89" s="53"/>
      <c r="E89" s="53"/>
      <c r="F89" s="53"/>
      <c r="G89" s="53"/>
    </row>
    <row r="90" ht="27.75" customHeight="1">
      <c r="A90" s="89"/>
      <c r="B90" s="158"/>
      <c r="C90" s="158"/>
      <c r="D90" s="159"/>
      <c r="E90" s="89"/>
      <c r="F90" s="89"/>
      <c r="G90" s="89"/>
    </row>
    <row r="91" ht="27.75" customHeight="1">
      <c r="A91" s="109"/>
      <c r="B91" s="110"/>
      <c r="C91" s="111"/>
      <c r="D91" s="112"/>
      <c r="E91" s="109"/>
      <c r="F91" s="109"/>
      <c r="G91" s="111"/>
    </row>
    <row r="92" ht="27.75" customHeight="1">
      <c r="A92" s="160"/>
      <c r="B92" s="161"/>
      <c r="C92" s="162"/>
      <c r="D92" s="163"/>
      <c r="E92" s="164"/>
      <c r="F92" s="165"/>
      <c r="G92" s="167"/>
    </row>
    <row r="93" ht="27.75" customHeight="1">
      <c r="A93" s="160"/>
      <c r="B93" s="161"/>
      <c r="C93" s="162"/>
      <c r="D93" s="163"/>
      <c r="E93" s="164"/>
      <c r="F93" s="168"/>
      <c r="G93" s="167"/>
    </row>
    <row r="94" ht="27.75" customHeight="1">
      <c r="A94" s="160"/>
      <c r="B94" s="169"/>
      <c r="C94" s="169"/>
      <c r="D94" s="170"/>
      <c r="E94" s="164"/>
      <c r="F94" s="171"/>
      <c r="G94" s="172"/>
    </row>
    <row r="95" ht="27.75" customHeight="1">
      <c r="A95" s="160"/>
      <c r="B95" s="161"/>
      <c r="C95" s="162"/>
      <c r="D95" s="163"/>
      <c r="E95" s="164"/>
      <c r="F95" s="168"/>
      <c r="G95" s="166"/>
    </row>
    <row r="96" ht="27.75" customHeight="1">
      <c r="A96" s="160"/>
      <c r="B96" s="161"/>
      <c r="C96" s="162"/>
      <c r="D96" s="163"/>
      <c r="E96" s="164"/>
      <c r="F96" s="168"/>
      <c r="G96" s="166"/>
    </row>
    <row r="97" ht="27.75" customHeight="1">
      <c r="A97" s="160"/>
      <c r="B97" s="161"/>
      <c r="C97" s="162"/>
      <c r="D97" s="163"/>
      <c r="E97" s="164"/>
      <c r="F97" s="168"/>
      <c r="G97" s="167"/>
    </row>
    <row r="98" ht="27.75" customHeight="1">
      <c r="A98" s="160"/>
      <c r="B98" s="161"/>
      <c r="C98" s="162"/>
      <c r="D98" s="163"/>
      <c r="E98" s="164"/>
      <c r="F98" s="168"/>
      <c r="G98" s="167"/>
    </row>
    <row r="99" ht="15.75" customHeight="1">
      <c r="A99" s="53"/>
      <c r="B99" s="173"/>
      <c r="C99" s="173"/>
      <c r="D99" s="174"/>
      <c r="E99" s="53"/>
      <c r="F99" s="53"/>
      <c r="G99" s="53"/>
    </row>
    <row r="100" ht="24.0" customHeight="1">
      <c r="A100" s="156"/>
      <c r="B100" s="157"/>
      <c r="C100" s="157"/>
      <c r="D100" s="53"/>
      <c r="E100" s="53"/>
      <c r="F100" s="53"/>
      <c r="G100" s="53"/>
    </row>
    <row r="101" ht="18.0" customHeight="1">
      <c r="A101" s="175"/>
      <c r="B101" s="176"/>
      <c r="C101" s="176"/>
      <c r="D101" s="177"/>
      <c r="E101" s="175"/>
      <c r="F101" s="175"/>
      <c r="G101" s="175"/>
    </row>
    <row r="102" ht="27.75" customHeight="1">
      <c r="A102" s="160"/>
      <c r="B102" s="161"/>
      <c r="C102" s="162"/>
      <c r="D102" s="163"/>
      <c r="E102" s="164"/>
      <c r="F102" s="165"/>
      <c r="G102" s="166"/>
    </row>
    <row r="103" ht="27.75" customHeight="1">
      <c r="A103" s="160"/>
      <c r="B103" s="161"/>
      <c r="C103" s="162"/>
      <c r="D103" s="163"/>
      <c r="E103" s="164"/>
      <c r="F103" s="165"/>
      <c r="G103" s="166"/>
    </row>
    <row r="104" ht="27.75" customHeight="1">
      <c r="A104" s="160"/>
      <c r="B104" s="161"/>
      <c r="C104" s="162"/>
      <c r="D104" s="163"/>
      <c r="E104" s="164"/>
      <c r="F104" s="165"/>
      <c r="G104" s="167"/>
    </row>
    <row r="105" ht="27.75" customHeight="1">
      <c r="A105" s="160"/>
      <c r="B105" s="161"/>
      <c r="C105" s="162"/>
      <c r="D105" s="163"/>
      <c r="E105" s="164"/>
      <c r="F105" s="165"/>
      <c r="G105" s="167"/>
    </row>
    <row r="106" ht="27.75" customHeight="1">
      <c r="A106" s="160"/>
      <c r="B106" s="161"/>
      <c r="C106" s="162"/>
      <c r="D106" s="163"/>
      <c r="E106" s="164"/>
      <c r="F106" s="165"/>
      <c r="G106" s="167"/>
    </row>
    <row r="107" ht="27.75" customHeight="1">
      <c r="A107" s="160"/>
      <c r="B107" s="161"/>
      <c r="C107" s="162"/>
      <c r="D107" s="163"/>
      <c r="E107" s="164"/>
      <c r="F107" s="165"/>
      <c r="G107" s="166"/>
    </row>
    <row r="108" ht="27.75" customHeight="1">
      <c r="A108" s="160"/>
      <c r="B108" s="161"/>
      <c r="C108" s="162"/>
      <c r="D108" s="163"/>
      <c r="E108" s="164"/>
      <c r="F108" s="168"/>
      <c r="G108" s="166"/>
    </row>
    <row r="109" ht="27.75" customHeight="1">
      <c r="A109" s="160"/>
      <c r="B109" s="161"/>
      <c r="C109" s="162"/>
      <c r="D109" s="163"/>
      <c r="E109" s="164"/>
      <c r="F109" s="168"/>
      <c r="G109" s="167"/>
    </row>
    <row r="110" ht="27.75" customHeight="1">
      <c r="A110" s="160"/>
      <c r="B110" s="161"/>
      <c r="C110" s="162"/>
      <c r="D110" s="163"/>
      <c r="E110" s="164"/>
      <c r="F110" s="168"/>
      <c r="G110" s="166"/>
    </row>
    <row r="111" ht="27.75" customHeight="1">
      <c r="A111" s="160"/>
      <c r="B111" s="161"/>
      <c r="C111" s="162"/>
      <c r="D111" s="163"/>
      <c r="E111" s="164"/>
      <c r="F111" s="168"/>
      <c r="G111" s="166"/>
    </row>
    <row r="112" ht="27.75" customHeight="1">
      <c r="A112" s="160"/>
      <c r="B112" s="161"/>
      <c r="C112" s="162"/>
      <c r="D112" s="163"/>
      <c r="E112" s="164"/>
      <c r="F112" s="168"/>
      <c r="G112" s="167"/>
    </row>
    <row r="113" ht="27.75" customHeight="1">
      <c r="A113" s="160"/>
      <c r="B113" s="169"/>
      <c r="C113" s="169"/>
      <c r="D113" s="170"/>
      <c r="E113" s="171"/>
      <c r="F113" s="171"/>
      <c r="G113" s="172"/>
    </row>
    <row r="114" ht="27.75" customHeight="1">
      <c r="A114" s="160"/>
      <c r="B114" s="161"/>
      <c r="C114" s="162"/>
      <c r="D114" s="163"/>
      <c r="E114" s="164"/>
      <c r="F114" s="168"/>
      <c r="G114" s="166"/>
    </row>
    <row r="115" ht="27.75" customHeight="1">
      <c r="A115" s="160"/>
      <c r="B115" s="161"/>
      <c r="C115" s="162"/>
      <c r="D115" s="163"/>
      <c r="E115" s="164"/>
      <c r="F115" s="168"/>
      <c r="G115" s="166"/>
    </row>
    <row r="116" ht="27.75" customHeight="1">
      <c r="A116" s="160"/>
      <c r="B116" s="161"/>
      <c r="C116" s="162"/>
      <c r="D116" s="163"/>
      <c r="E116" s="164"/>
      <c r="F116" s="178"/>
      <c r="G116" s="179"/>
    </row>
    <row r="117" ht="27.75" customHeight="1">
      <c r="A117" s="160"/>
      <c r="B117" s="161"/>
      <c r="C117" s="162"/>
      <c r="D117" s="163"/>
      <c r="E117" s="164"/>
      <c r="F117" s="168"/>
      <c r="G117" s="167"/>
    </row>
    <row r="118" ht="15.75" customHeight="1">
      <c r="A118" s="53"/>
      <c r="B118" s="173"/>
      <c r="C118" s="173"/>
      <c r="D118" s="174"/>
      <c r="E118" s="53"/>
      <c r="F118" s="53"/>
      <c r="G118" s="53"/>
    </row>
    <row r="119" ht="24.0" customHeight="1">
      <c r="A119" s="156"/>
      <c r="B119" s="157"/>
      <c r="C119" s="157"/>
      <c r="D119" s="53"/>
      <c r="E119" s="53"/>
      <c r="F119" s="53"/>
      <c r="G119" s="53"/>
    </row>
    <row r="120" ht="18.0" customHeight="1">
      <c r="A120" s="175"/>
      <c r="B120" s="176"/>
      <c r="C120" s="176"/>
      <c r="D120" s="177"/>
      <c r="E120" s="175"/>
      <c r="F120" s="175"/>
      <c r="G120" s="175"/>
    </row>
    <row r="121" ht="27.75" customHeight="1">
      <c r="A121" s="160"/>
      <c r="B121" s="161"/>
      <c r="C121" s="162"/>
      <c r="D121" s="163"/>
      <c r="E121" s="164"/>
      <c r="F121" s="165"/>
      <c r="G121" s="166"/>
    </row>
    <row r="122" ht="27.75" customHeight="1">
      <c r="A122" s="160"/>
      <c r="B122" s="161"/>
      <c r="C122" s="162"/>
      <c r="D122" s="163"/>
      <c r="E122" s="164"/>
      <c r="F122" s="165"/>
      <c r="G122" s="166"/>
    </row>
    <row r="123" ht="27.75" customHeight="1">
      <c r="A123" s="160"/>
      <c r="B123" s="169"/>
      <c r="C123" s="169"/>
      <c r="D123" s="170"/>
      <c r="E123" s="164"/>
      <c r="F123" s="171"/>
      <c r="G123" s="172"/>
    </row>
    <row r="124" ht="27.75" customHeight="1">
      <c r="A124" s="160"/>
      <c r="B124" s="161"/>
      <c r="C124" s="162"/>
      <c r="D124" s="163"/>
      <c r="E124" s="164"/>
      <c r="F124" s="165"/>
      <c r="G124" s="167"/>
    </row>
    <row r="125" ht="27.75" customHeight="1">
      <c r="A125" s="160"/>
      <c r="B125" s="161"/>
      <c r="C125" s="162"/>
      <c r="D125" s="163"/>
      <c r="E125" s="164"/>
      <c r="F125" s="168"/>
      <c r="G125" s="166"/>
    </row>
    <row r="126" ht="27.75" customHeight="1">
      <c r="A126" s="160"/>
      <c r="B126" s="161"/>
      <c r="C126" s="162"/>
      <c r="D126" s="163"/>
      <c r="E126" s="164"/>
      <c r="F126" s="165"/>
      <c r="G126" s="166"/>
    </row>
    <row r="127" ht="27.75" customHeight="1">
      <c r="A127" s="160"/>
      <c r="B127" s="161"/>
      <c r="C127" s="162"/>
      <c r="D127" s="180"/>
      <c r="E127" s="164"/>
      <c r="F127" s="165"/>
      <c r="G127" s="166"/>
    </row>
    <row r="128" ht="15.75" customHeight="1">
      <c r="A128" s="53"/>
      <c r="B128" s="173"/>
      <c r="C128" s="173"/>
      <c r="D128" s="174"/>
      <c r="E128" s="53"/>
      <c r="F128" s="53"/>
      <c r="G128" s="53"/>
    </row>
    <row r="129" ht="24.0" customHeight="1">
      <c r="A129" s="156"/>
      <c r="B129" s="157"/>
      <c r="C129" s="157"/>
      <c r="D129" s="53"/>
      <c r="E129" s="53"/>
      <c r="F129" s="53"/>
      <c r="G129" s="53"/>
    </row>
    <row r="130" ht="18.0" customHeight="1">
      <c r="A130" s="175"/>
      <c r="B130" s="176"/>
      <c r="C130" s="176"/>
      <c r="D130" s="177"/>
      <c r="E130" s="175"/>
      <c r="F130" s="175"/>
      <c r="G130" s="175"/>
    </row>
    <row r="131" ht="27.75" customHeight="1">
      <c r="A131" s="160"/>
      <c r="B131" s="161"/>
      <c r="C131" s="162"/>
      <c r="D131" s="163"/>
      <c r="E131" s="181"/>
      <c r="F131" s="165"/>
      <c r="G131" s="166"/>
    </row>
    <row r="132" ht="27.75" customHeight="1">
      <c r="A132" s="160"/>
      <c r="B132" s="161"/>
      <c r="C132" s="162"/>
      <c r="D132" s="163"/>
      <c r="E132" s="181"/>
      <c r="F132" s="165"/>
      <c r="G132" s="166"/>
    </row>
    <row r="133" ht="15.75" customHeight="1">
      <c r="A133" s="53"/>
      <c r="B133" s="173"/>
      <c r="C133" s="173"/>
      <c r="D133" s="174"/>
      <c r="E133" s="53"/>
      <c r="F133" s="53"/>
      <c r="G133" s="53"/>
    </row>
    <row r="134" ht="24.0" customHeight="1">
      <c r="A134" s="156"/>
      <c r="B134" s="157"/>
      <c r="C134" s="157"/>
      <c r="D134" s="53"/>
      <c r="E134" s="53"/>
      <c r="F134" s="53"/>
      <c r="G134" s="53"/>
    </row>
    <row r="135" ht="18.0" customHeight="1">
      <c r="A135" s="175"/>
      <c r="B135" s="176"/>
      <c r="C135" s="176"/>
      <c r="D135" s="177"/>
      <c r="E135" s="175"/>
      <c r="F135" s="175"/>
      <c r="G135" s="175"/>
    </row>
    <row r="136" ht="27.75" customHeight="1">
      <c r="A136" s="160"/>
      <c r="B136" s="161"/>
      <c r="C136" s="162"/>
      <c r="D136" s="163"/>
      <c r="E136" s="181"/>
      <c r="F136" s="165"/>
      <c r="G136" s="166"/>
    </row>
    <row r="137" ht="27.75" customHeight="1">
      <c r="A137" s="160"/>
      <c r="B137" s="169"/>
      <c r="C137" s="169"/>
      <c r="D137" s="170"/>
      <c r="E137" s="171"/>
      <c r="F137" s="171"/>
      <c r="G137" s="172"/>
    </row>
    <row r="138" ht="27.75" customHeight="1">
      <c r="A138" s="160"/>
      <c r="B138" s="161"/>
      <c r="C138" s="162"/>
      <c r="D138" s="163"/>
      <c r="E138" s="181"/>
      <c r="F138" s="165"/>
      <c r="G138" s="167"/>
    </row>
    <row r="139" ht="27.75" customHeight="1">
      <c r="A139" s="160"/>
      <c r="B139" s="161"/>
      <c r="C139" s="162"/>
      <c r="D139" s="163"/>
      <c r="E139" s="181"/>
      <c r="F139" s="165"/>
      <c r="G139" s="167"/>
    </row>
    <row r="140" ht="27.75" customHeight="1">
      <c r="A140" s="160"/>
      <c r="B140" s="161"/>
      <c r="C140" s="162"/>
      <c r="D140" s="163"/>
      <c r="E140" s="181"/>
      <c r="F140" s="165"/>
      <c r="G140" s="166"/>
    </row>
    <row r="141" ht="27.75" customHeight="1">
      <c r="A141" s="160"/>
      <c r="B141" s="161"/>
      <c r="C141" s="162"/>
      <c r="D141" s="163"/>
      <c r="E141" s="181"/>
      <c r="F141" s="178"/>
      <c r="G141" s="179"/>
    </row>
    <row r="142" ht="15.75" customHeight="1">
      <c r="A142" s="53"/>
      <c r="B142" s="173"/>
      <c r="C142" s="173"/>
      <c r="D142" s="174"/>
      <c r="E142" s="53"/>
      <c r="F142" s="53"/>
      <c r="G142" s="53"/>
    </row>
    <row r="143" ht="24.0" customHeight="1">
      <c r="A143" s="156"/>
      <c r="B143" s="157"/>
      <c r="C143" s="157"/>
      <c r="D143" s="53"/>
      <c r="E143" s="53"/>
      <c r="F143" s="53"/>
      <c r="G143" s="53"/>
    </row>
    <row r="144" ht="18.0" customHeight="1">
      <c r="A144" s="175"/>
      <c r="B144" s="176"/>
      <c r="C144" s="176"/>
      <c r="D144" s="177"/>
      <c r="E144" s="175"/>
      <c r="F144" s="175"/>
      <c r="G144" s="175"/>
    </row>
    <row r="145" ht="27.75" customHeight="1">
      <c r="A145" s="160"/>
      <c r="B145" s="161"/>
      <c r="C145" s="162"/>
      <c r="D145" s="163"/>
      <c r="E145" s="181"/>
      <c r="F145" s="178"/>
      <c r="G145" s="179"/>
    </row>
    <row r="146" ht="27.75" customHeight="1">
      <c r="A146" s="160"/>
      <c r="B146" s="161"/>
      <c r="C146" s="162"/>
      <c r="D146" s="163"/>
      <c r="E146" s="181"/>
      <c r="F146" s="165"/>
      <c r="G146" s="166"/>
    </row>
    <row r="147" ht="15.75" customHeight="1">
      <c r="A147" s="53"/>
      <c r="B147" s="173"/>
      <c r="C147" s="173"/>
      <c r="D147" s="174"/>
      <c r="E147" s="53"/>
      <c r="F147" s="53"/>
      <c r="G147" s="53"/>
    </row>
    <row r="148" ht="24.0" customHeight="1">
      <c r="A148" s="156"/>
      <c r="B148" s="157"/>
      <c r="C148" s="157"/>
      <c r="D148" s="53"/>
      <c r="E148" s="53"/>
      <c r="F148" s="53"/>
      <c r="G148" s="53"/>
    </row>
    <row r="149" ht="18.0" customHeight="1">
      <c r="A149" s="175"/>
      <c r="B149" s="176"/>
      <c r="C149" s="176"/>
      <c r="D149" s="177"/>
      <c r="E149" s="175"/>
      <c r="F149" s="175"/>
      <c r="G149" s="175"/>
    </row>
    <row r="150" ht="27.75" customHeight="1">
      <c r="A150" s="160"/>
      <c r="B150" s="161"/>
      <c r="C150" s="162"/>
      <c r="D150" s="163"/>
      <c r="E150" s="181"/>
      <c r="F150" s="165"/>
      <c r="G150" s="167"/>
    </row>
    <row r="151" ht="27.75" customHeight="1">
      <c r="A151" s="160"/>
      <c r="B151" s="161"/>
      <c r="C151" s="162"/>
      <c r="D151" s="163"/>
      <c r="E151" s="181"/>
      <c r="F151" s="165"/>
      <c r="G151" s="167"/>
    </row>
    <row r="152" ht="27.75" customHeight="1">
      <c r="A152" s="160"/>
      <c r="B152" s="161"/>
      <c r="C152" s="162"/>
      <c r="D152" s="163"/>
      <c r="E152" s="181"/>
      <c r="F152" s="165"/>
      <c r="G152" s="167"/>
    </row>
    <row r="153" ht="15.75" customHeight="1">
      <c r="A153" s="53"/>
      <c r="B153" s="173"/>
      <c r="C153" s="173"/>
      <c r="D153" s="174"/>
      <c r="E153" s="53"/>
      <c r="F153" s="53"/>
      <c r="G153" s="53"/>
    </row>
    <row r="154" ht="24.0" customHeight="1">
      <c r="A154" s="156"/>
      <c r="B154" s="157"/>
      <c r="C154" s="157"/>
      <c r="D154" s="53"/>
      <c r="E154" s="53"/>
      <c r="F154" s="53"/>
      <c r="G154" s="53"/>
    </row>
    <row r="155" ht="18.0" customHeight="1">
      <c r="A155" s="175"/>
      <c r="B155" s="176"/>
      <c r="C155" s="176"/>
      <c r="D155" s="177"/>
      <c r="E155" s="175"/>
      <c r="F155" s="175"/>
      <c r="G155" s="175"/>
    </row>
    <row r="156" ht="27.75" customHeight="1">
      <c r="A156" s="160"/>
      <c r="B156" s="161"/>
      <c r="C156" s="162"/>
      <c r="D156" s="163"/>
      <c r="E156" s="181"/>
      <c r="F156" s="165"/>
      <c r="G156" s="166"/>
    </row>
    <row r="157" ht="27.75" customHeight="1">
      <c r="A157" s="160"/>
      <c r="B157" s="161"/>
      <c r="C157" s="162"/>
      <c r="D157" s="163"/>
      <c r="E157" s="181"/>
      <c r="F157" s="178"/>
      <c r="G157" s="179"/>
    </row>
    <row r="158" ht="27.75" customHeight="1">
      <c r="A158" s="160"/>
      <c r="B158" s="161"/>
      <c r="C158" s="162"/>
      <c r="D158" s="163"/>
      <c r="E158" s="181"/>
      <c r="F158" s="178"/>
      <c r="G158" s="179"/>
    </row>
    <row r="159" ht="15.75" customHeight="1">
      <c r="A159" s="53"/>
      <c r="B159" s="173"/>
      <c r="C159" s="173"/>
      <c r="D159" s="174"/>
      <c r="E159" s="53"/>
      <c r="F159" s="53"/>
      <c r="G159" s="53"/>
    </row>
    <row r="160" ht="24.0" customHeight="1">
      <c r="A160" s="156"/>
      <c r="B160" s="157"/>
      <c r="C160" s="157"/>
      <c r="D160" s="53"/>
      <c r="E160" s="53"/>
      <c r="F160" s="53"/>
      <c r="G160" s="53"/>
    </row>
    <row r="161" ht="18.0" customHeight="1">
      <c r="A161" s="175"/>
      <c r="B161" s="176"/>
      <c r="C161" s="176"/>
      <c r="D161" s="177"/>
      <c r="E161" s="175"/>
      <c r="F161" s="175"/>
      <c r="G161" s="175"/>
    </row>
    <row r="162" ht="18.0" customHeight="1">
      <c r="A162" s="160"/>
      <c r="B162" s="161"/>
      <c r="C162" s="182"/>
      <c r="D162" s="183"/>
      <c r="E162" s="168"/>
      <c r="F162" s="184"/>
      <c r="G162" s="185"/>
    </row>
    <row r="163" ht="18.0" customHeight="1">
      <c r="A163" s="160"/>
      <c r="B163" s="161"/>
      <c r="C163" s="182"/>
      <c r="D163" s="183"/>
      <c r="E163" s="168"/>
      <c r="F163" s="184"/>
      <c r="G163" s="185"/>
    </row>
    <row r="164" ht="18.0" customHeight="1">
      <c r="A164" s="160"/>
      <c r="B164" s="161"/>
      <c r="C164" s="182"/>
      <c r="D164" s="183"/>
      <c r="E164" s="168"/>
      <c r="F164" s="184"/>
      <c r="G164" s="185"/>
    </row>
    <row r="165" ht="18.0" customHeight="1">
      <c r="A165" s="160"/>
      <c r="B165" s="161"/>
      <c r="C165" s="182"/>
      <c r="D165" s="183"/>
      <c r="E165" s="168"/>
      <c r="F165" s="184"/>
      <c r="G165" s="185"/>
    </row>
    <row r="166" ht="18.0" customHeight="1">
      <c r="A166" s="160"/>
      <c r="B166" s="161"/>
      <c r="C166" s="182"/>
      <c r="D166" s="183"/>
      <c r="E166" s="168"/>
      <c r="F166" s="184"/>
      <c r="G166" s="185"/>
    </row>
    <row r="167" ht="18.0" customHeight="1">
      <c r="A167" s="160"/>
      <c r="B167" s="161"/>
      <c r="C167" s="182"/>
      <c r="D167" s="183"/>
      <c r="E167" s="168"/>
      <c r="F167" s="184"/>
      <c r="G167" s="185"/>
    </row>
    <row r="168" ht="18.0" customHeight="1">
      <c r="A168" s="160"/>
      <c r="B168" s="161"/>
      <c r="C168" s="182"/>
      <c r="D168" s="183"/>
      <c r="E168" s="165"/>
      <c r="F168" s="184"/>
      <c r="G168" s="185"/>
    </row>
    <row r="169" ht="18.0" customHeight="1">
      <c r="A169" s="160"/>
      <c r="B169" s="161"/>
      <c r="C169" s="182"/>
      <c r="D169" s="183"/>
      <c r="E169" s="165"/>
      <c r="F169" s="184"/>
      <c r="G169" s="185"/>
    </row>
    <row r="170" ht="18.0" customHeight="1">
      <c r="A170" s="160"/>
      <c r="B170" s="161"/>
      <c r="C170" s="182"/>
      <c r="D170" s="183"/>
      <c r="E170" s="165"/>
      <c r="F170" s="184"/>
      <c r="G170" s="185"/>
    </row>
    <row r="171" ht="18.0" customHeight="1">
      <c r="A171" s="160"/>
      <c r="B171" s="161"/>
      <c r="C171" s="182"/>
      <c r="D171" s="183"/>
      <c r="E171" s="165"/>
      <c r="F171" s="184"/>
      <c r="G171" s="185"/>
    </row>
    <row r="172" ht="15.75" customHeight="1">
      <c r="A172" s="53"/>
      <c r="B172" s="173"/>
      <c r="C172" s="173"/>
      <c r="D172" s="174"/>
      <c r="E172" s="53"/>
      <c r="F172" s="53"/>
      <c r="G172" s="53"/>
    </row>
    <row r="173" ht="15.75" customHeight="1">
      <c r="A173" s="53"/>
      <c r="B173" s="173"/>
      <c r="C173" s="173"/>
      <c r="D173" s="174"/>
      <c r="E173" s="53"/>
      <c r="F173" s="53"/>
      <c r="G173" s="53"/>
    </row>
    <row r="174" ht="15.75" customHeight="1">
      <c r="A174" s="53"/>
      <c r="B174" s="173"/>
      <c r="C174" s="173"/>
      <c r="D174" s="174"/>
      <c r="E174" s="53"/>
      <c r="F174" s="53"/>
      <c r="G174" s="53"/>
    </row>
    <row r="175" ht="15.75" customHeight="1">
      <c r="A175" s="53"/>
      <c r="B175" s="173"/>
      <c r="C175" s="173"/>
      <c r="D175" s="174"/>
      <c r="E175" s="53"/>
      <c r="F175" s="53"/>
      <c r="G175" s="53"/>
    </row>
    <row r="176" ht="15.75" customHeight="1">
      <c r="A176" s="53"/>
      <c r="B176" s="173"/>
      <c r="C176" s="173"/>
      <c r="D176" s="174"/>
      <c r="E176" s="53"/>
      <c r="F176" s="53"/>
      <c r="G176" s="53"/>
    </row>
    <row r="177" ht="15.75" customHeight="1">
      <c r="A177" s="53"/>
      <c r="B177" s="173"/>
      <c r="C177" s="173"/>
      <c r="D177" s="174"/>
      <c r="E177" s="53"/>
      <c r="F177" s="53"/>
      <c r="G177" s="53"/>
    </row>
    <row r="178" ht="15.75" customHeight="1">
      <c r="A178" s="53"/>
      <c r="B178" s="173"/>
      <c r="C178" s="173"/>
      <c r="D178" s="174"/>
      <c r="E178" s="53"/>
      <c r="F178" s="53"/>
      <c r="G178" s="53"/>
    </row>
    <row r="179" ht="15.75" customHeight="1">
      <c r="A179" s="53"/>
      <c r="B179" s="173"/>
      <c r="C179" s="173"/>
      <c r="D179" s="174"/>
      <c r="E179" s="53"/>
      <c r="F179" s="53"/>
      <c r="G179" s="53"/>
    </row>
    <row r="180" ht="15.75" customHeight="1">
      <c r="A180" s="53"/>
      <c r="B180" s="173"/>
      <c r="C180" s="173"/>
      <c r="D180" s="174"/>
      <c r="E180" s="53"/>
      <c r="F180" s="53"/>
      <c r="G180" s="53"/>
    </row>
    <row r="181" ht="15.75" customHeight="1">
      <c r="A181" s="53"/>
      <c r="B181" s="173"/>
      <c r="C181" s="173"/>
      <c r="D181" s="174"/>
      <c r="E181" s="53"/>
      <c r="F181" s="53"/>
      <c r="G181" s="53"/>
    </row>
    <row r="182" ht="15.75" customHeight="1">
      <c r="A182" s="53"/>
      <c r="B182" s="173"/>
      <c r="C182" s="173"/>
      <c r="D182" s="174"/>
      <c r="E182" s="53"/>
      <c r="F182" s="53"/>
      <c r="G182" s="53"/>
    </row>
    <row r="183" ht="15.75" customHeight="1">
      <c r="A183" s="53"/>
      <c r="B183" s="173"/>
      <c r="C183" s="173"/>
      <c r="D183" s="174"/>
      <c r="E183" s="53"/>
      <c r="F183" s="53"/>
      <c r="G183" s="53"/>
    </row>
    <row r="184" ht="15.75" customHeight="1">
      <c r="A184" s="53"/>
      <c r="B184" s="173"/>
      <c r="C184" s="173"/>
      <c r="D184" s="174"/>
      <c r="E184" s="53"/>
      <c r="F184" s="53"/>
      <c r="G184" s="53"/>
    </row>
    <row r="185" ht="15.75" customHeight="1">
      <c r="A185" s="53"/>
      <c r="B185" s="173"/>
      <c r="C185" s="173"/>
      <c r="D185" s="174"/>
      <c r="E185" s="53"/>
      <c r="F185" s="53"/>
      <c r="G185" s="53"/>
    </row>
    <row r="186" ht="15.75" customHeight="1">
      <c r="A186" s="53"/>
      <c r="B186" s="173"/>
      <c r="C186" s="173"/>
      <c r="D186" s="174"/>
      <c r="E186" s="53"/>
      <c r="F186" s="53"/>
      <c r="G186" s="53"/>
    </row>
    <row r="187" ht="15.75" customHeight="1">
      <c r="A187" s="53"/>
      <c r="B187" s="173"/>
      <c r="C187" s="173"/>
      <c r="D187" s="174"/>
      <c r="E187" s="53"/>
      <c r="F187" s="53"/>
      <c r="G187" s="53"/>
    </row>
    <row r="188" ht="15.75" customHeight="1">
      <c r="A188" s="53"/>
      <c r="B188" s="173"/>
      <c r="C188" s="173"/>
      <c r="D188" s="174"/>
      <c r="E188" s="53"/>
      <c r="F188" s="53"/>
      <c r="G188" s="53"/>
    </row>
    <row r="189" ht="15.75" customHeight="1">
      <c r="A189" s="53"/>
      <c r="B189" s="173"/>
      <c r="C189" s="173"/>
      <c r="D189" s="174"/>
      <c r="E189" s="53"/>
      <c r="F189" s="53"/>
      <c r="G189" s="53"/>
    </row>
    <row r="190" ht="15.75" customHeight="1">
      <c r="A190" s="53"/>
      <c r="B190" s="173"/>
      <c r="C190" s="173"/>
      <c r="D190" s="174"/>
      <c r="E190" s="53"/>
      <c r="F190" s="53"/>
      <c r="G190" s="53"/>
    </row>
    <row r="191" ht="15.75" customHeight="1">
      <c r="A191" s="53"/>
      <c r="B191" s="173"/>
      <c r="C191" s="173"/>
      <c r="D191" s="174"/>
      <c r="E191" s="53"/>
      <c r="F191" s="53"/>
      <c r="G191" s="53"/>
    </row>
    <row r="192" ht="15.75" customHeight="1">
      <c r="A192" s="53"/>
      <c r="B192" s="173"/>
      <c r="C192" s="173"/>
      <c r="D192" s="174"/>
      <c r="E192" s="53"/>
      <c r="F192" s="53"/>
      <c r="G192" s="53"/>
    </row>
    <row r="193" ht="15.75" customHeight="1">
      <c r="A193" s="53"/>
      <c r="B193" s="173"/>
      <c r="C193" s="173"/>
      <c r="D193" s="174"/>
      <c r="E193" s="53"/>
      <c r="F193" s="53"/>
      <c r="G193" s="53"/>
    </row>
    <row r="194" ht="15.75" customHeight="1">
      <c r="A194" s="53"/>
      <c r="B194" s="173"/>
      <c r="C194" s="173"/>
      <c r="D194" s="174"/>
      <c r="E194" s="53"/>
      <c r="F194" s="53"/>
      <c r="G194" s="53"/>
    </row>
    <row r="195" ht="15.75" customHeight="1">
      <c r="A195" s="53"/>
      <c r="B195" s="173"/>
      <c r="C195" s="173"/>
      <c r="D195" s="174"/>
      <c r="E195" s="53"/>
      <c r="F195" s="53"/>
      <c r="G195" s="53"/>
    </row>
    <row r="196" ht="15.75" customHeight="1">
      <c r="A196" s="53"/>
      <c r="B196" s="173"/>
      <c r="C196" s="173"/>
      <c r="D196" s="174"/>
      <c r="E196" s="53"/>
      <c r="F196" s="53"/>
      <c r="G196" s="53"/>
    </row>
    <row r="197" ht="15.75" customHeight="1">
      <c r="A197" s="53"/>
      <c r="B197" s="173"/>
      <c r="C197" s="173"/>
      <c r="D197" s="174"/>
      <c r="E197" s="53"/>
      <c r="F197" s="53"/>
      <c r="G197" s="53"/>
    </row>
    <row r="198" ht="15.75" customHeight="1">
      <c r="A198" s="53"/>
      <c r="B198" s="173"/>
      <c r="C198" s="173"/>
      <c r="D198" s="174"/>
      <c r="E198" s="53"/>
      <c r="F198" s="53"/>
      <c r="G198" s="53"/>
    </row>
    <row r="199" ht="15.75" customHeight="1">
      <c r="A199" s="53"/>
      <c r="B199" s="173"/>
      <c r="C199" s="173"/>
      <c r="D199" s="174"/>
      <c r="E199" s="53"/>
      <c r="F199" s="53"/>
      <c r="G199" s="53"/>
    </row>
    <row r="200" ht="15.75" customHeight="1">
      <c r="A200" s="53"/>
      <c r="B200" s="173"/>
      <c r="C200" s="173"/>
      <c r="D200" s="174"/>
      <c r="E200" s="53"/>
      <c r="F200" s="53"/>
      <c r="G200" s="53"/>
    </row>
    <row r="201" ht="15.75" customHeight="1">
      <c r="A201" s="53"/>
      <c r="B201" s="173"/>
      <c r="C201" s="173"/>
      <c r="D201" s="174"/>
      <c r="E201" s="53"/>
      <c r="F201" s="53"/>
      <c r="G201" s="53"/>
    </row>
    <row r="202" ht="15.75" customHeight="1">
      <c r="A202" s="53"/>
      <c r="B202" s="173"/>
      <c r="C202" s="173"/>
      <c r="D202" s="174"/>
      <c r="E202" s="53"/>
      <c r="F202" s="53"/>
      <c r="G202" s="53"/>
    </row>
    <row r="203" ht="15.75" customHeight="1">
      <c r="A203" s="53"/>
      <c r="B203" s="173"/>
      <c r="C203" s="173"/>
      <c r="D203" s="174"/>
      <c r="E203" s="53"/>
      <c r="F203" s="53"/>
      <c r="G203" s="53"/>
    </row>
    <row r="204" ht="15.75" customHeight="1">
      <c r="A204" s="53"/>
      <c r="B204" s="173"/>
      <c r="C204" s="173"/>
      <c r="D204" s="174"/>
      <c r="E204" s="53"/>
      <c r="F204" s="53"/>
      <c r="G204" s="53"/>
    </row>
    <row r="205" ht="15.75" customHeight="1">
      <c r="A205" s="53"/>
      <c r="B205" s="173"/>
      <c r="C205" s="173"/>
      <c r="D205" s="174"/>
      <c r="E205" s="53"/>
      <c r="F205" s="53"/>
      <c r="G205" s="53"/>
    </row>
    <row r="206" ht="15.75" customHeight="1">
      <c r="A206" s="53"/>
      <c r="B206" s="173"/>
      <c r="C206" s="173"/>
      <c r="D206" s="174"/>
      <c r="E206" s="53"/>
      <c r="F206" s="53"/>
      <c r="G206" s="53"/>
    </row>
    <row r="207" ht="15.75" customHeight="1">
      <c r="A207" s="53"/>
      <c r="B207" s="173"/>
      <c r="C207" s="173"/>
      <c r="D207" s="174"/>
      <c r="E207" s="53"/>
      <c r="F207" s="53"/>
      <c r="G207" s="53"/>
    </row>
    <row r="208" ht="15.75" customHeight="1">
      <c r="A208" s="53"/>
      <c r="B208" s="173"/>
      <c r="C208" s="173"/>
      <c r="D208" s="174"/>
      <c r="E208" s="53"/>
      <c r="F208" s="53"/>
      <c r="G208" s="53"/>
    </row>
    <row r="209" ht="15.75" customHeight="1">
      <c r="A209" s="53"/>
      <c r="B209" s="173"/>
      <c r="C209" s="173"/>
      <c r="D209" s="174"/>
      <c r="E209" s="53"/>
      <c r="F209" s="53"/>
      <c r="G209" s="53"/>
    </row>
    <row r="210" ht="15.75" customHeight="1">
      <c r="A210" s="53"/>
      <c r="B210" s="173"/>
      <c r="C210" s="173"/>
      <c r="D210" s="174"/>
      <c r="E210" s="53"/>
      <c r="F210" s="53"/>
      <c r="G210" s="53"/>
    </row>
    <row r="211" ht="15.75" customHeight="1">
      <c r="A211" s="53"/>
      <c r="B211" s="173"/>
      <c r="C211" s="173"/>
      <c r="D211" s="174"/>
      <c r="E211" s="53"/>
      <c r="F211" s="53"/>
      <c r="G211" s="53"/>
    </row>
    <row r="212" ht="15.75" customHeight="1">
      <c r="A212" s="53"/>
      <c r="B212" s="173"/>
      <c r="C212" s="173"/>
      <c r="D212" s="174"/>
      <c r="E212" s="53"/>
      <c r="F212" s="53"/>
      <c r="G212" s="53"/>
    </row>
    <row r="213" ht="15.75" customHeight="1">
      <c r="A213" s="53"/>
      <c r="B213" s="173"/>
      <c r="C213" s="173"/>
      <c r="D213" s="174"/>
      <c r="E213" s="53"/>
      <c r="F213" s="53"/>
      <c r="G213" s="53"/>
    </row>
    <row r="214" ht="15.75" customHeight="1">
      <c r="A214" s="53"/>
      <c r="B214" s="173"/>
      <c r="C214" s="173"/>
      <c r="D214" s="174"/>
      <c r="E214" s="53"/>
      <c r="F214" s="53"/>
      <c r="G214" s="53"/>
    </row>
    <row r="215" ht="15.75" customHeight="1">
      <c r="A215" s="53"/>
      <c r="B215" s="173"/>
      <c r="C215" s="173"/>
      <c r="D215" s="174"/>
      <c r="E215" s="53"/>
      <c r="F215" s="53"/>
      <c r="G215" s="53"/>
    </row>
    <row r="216" ht="15.75" customHeight="1">
      <c r="A216" s="53"/>
      <c r="B216" s="173"/>
      <c r="C216" s="173"/>
      <c r="D216" s="174"/>
      <c r="E216" s="53"/>
      <c r="F216" s="53"/>
      <c r="G216" s="53"/>
    </row>
    <row r="217" ht="15.75" customHeight="1">
      <c r="A217" s="53"/>
      <c r="B217" s="173"/>
      <c r="C217" s="173"/>
      <c r="D217" s="174"/>
      <c r="E217" s="53"/>
      <c r="F217" s="53"/>
      <c r="G217" s="53"/>
    </row>
    <row r="218" ht="15.75" customHeight="1">
      <c r="A218" s="53"/>
      <c r="B218" s="173"/>
      <c r="C218" s="173"/>
      <c r="D218" s="174"/>
      <c r="E218" s="53"/>
      <c r="F218" s="53"/>
      <c r="G218" s="53"/>
    </row>
    <row r="219" ht="15.75" customHeight="1">
      <c r="A219" s="53"/>
      <c r="B219" s="173"/>
      <c r="C219" s="173"/>
      <c r="D219" s="174"/>
      <c r="E219" s="53"/>
      <c r="F219" s="53"/>
      <c r="G219" s="53"/>
    </row>
    <row r="220" ht="15.75" customHeight="1">
      <c r="A220" s="53"/>
      <c r="B220" s="173"/>
      <c r="C220" s="173"/>
      <c r="D220" s="174"/>
      <c r="E220" s="53"/>
      <c r="F220" s="53"/>
      <c r="G220" s="53"/>
    </row>
    <row r="221" ht="15.75" customHeight="1">
      <c r="A221" s="53"/>
      <c r="B221" s="173"/>
      <c r="C221" s="173"/>
      <c r="D221" s="174"/>
      <c r="E221" s="53"/>
      <c r="F221" s="53"/>
      <c r="G221" s="53"/>
    </row>
    <row r="222" ht="15.75" customHeight="1">
      <c r="A222" s="53"/>
      <c r="B222" s="173"/>
      <c r="C222" s="173"/>
      <c r="D222" s="174"/>
      <c r="E222" s="53"/>
      <c r="F222" s="53"/>
      <c r="G222" s="53"/>
    </row>
    <row r="223" ht="15.75" customHeight="1">
      <c r="A223" s="53"/>
      <c r="B223" s="173"/>
      <c r="C223" s="173"/>
      <c r="D223" s="174"/>
      <c r="E223" s="53"/>
      <c r="F223" s="53"/>
      <c r="G223" s="53"/>
    </row>
    <row r="224" ht="15.75" customHeight="1">
      <c r="A224" s="53"/>
      <c r="B224" s="173"/>
      <c r="C224" s="173"/>
      <c r="D224" s="174"/>
      <c r="E224" s="53"/>
      <c r="F224" s="53"/>
      <c r="G224" s="53"/>
    </row>
    <row r="225" ht="15.75" customHeight="1">
      <c r="A225" s="53"/>
      <c r="B225" s="173"/>
      <c r="C225" s="173"/>
      <c r="D225" s="174"/>
      <c r="E225" s="53"/>
      <c r="F225" s="53"/>
      <c r="G225" s="53"/>
    </row>
    <row r="226" ht="15.75" customHeight="1">
      <c r="A226" s="53"/>
      <c r="B226" s="173"/>
      <c r="C226" s="173"/>
      <c r="D226" s="174"/>
      <c r="E226" s="53"/>
      <c r="F226" s="53"/>
      <c r="G226" s="53"/>
    </row>
    <row r="227" ht="15.75" customHeight="1">
      <c r="A227" s="53"/>
      <c r="B227" s="173"/>
      <c r="C227" s="173"/>
      <c r="D227" s="174"/>
      <c r="E227" s="53"/>
      <c r="F227" s="53"/>
      <c r="G227" s="53"/>
    </row>
    <row r="228" ht="15.75" customHeight="1">
      <c r="A228" s="53"/>
      <c r="B228" s="173"/>
      <c r="C228" s="173"/>
      <c r="D228" s="174"/>
      <c r="E228" s="53"/>
      <c r="F228" s="53"/>
      <c r="G228" s="53"/>
    </row>
    <row r="229" ht="15.75" customHeight="1">
      <c r="A229" s="53"/>
      <c r="B229" s="173"/>
      <c r="C229" s="173"/>
      <c r="D229" s="174"/>
      <c r="E229" s="53"/>
      <c r="F229" s="53"/>
      <c r="G229" s="53"/>
    </row>
    <row r="230" ht="15.75" customHeight="1">
      <c r="A230" s="53"/>
      <c r="B230" s="173"/>
      <c r="C230" s="173"/>
      <c r="D230" s="174"/>
      <c r="E230" s="53"/>
      <c r="F230" s="53"/>
      <c r="G230" s="53"/>
    </row>
    <row r="231" ht="15.75" customHeight="1">
      <c r="A231" s="53"/>
      <c r="B231" s="173"/>
      <c r="C231" s="173"/>
      <c r="D231" s="174"/>
      <c r="E231" s="53"/>
      <c r="F231" s="53"/>
      <c r="G231" s="53"/>
    </row>
    <row r="232" ht="15.75" customHeight="1">
      <c r="A232" s="53"/>
      <c r="B232" s="173"/>
      <c r="C232" s="173"/>
      <c r="D232" s="174"/>
      <c r="E232" s="53"/>
      <c r="F232" s="53"/>
      <c r="G232" s="53"/>
    </row>
    <row r="233" ht="15.75" customHeight="1">
      <c r="A233" s="53"/>
      <c r="B233" s="173"/>
      <c r="C233" s="173"/>
      <c r="D233" s="174"/>
      <c r="E233" s="53"/>
      <c r="F233" s="53"/>
      <c r="G233" s="53"/>
    </row>
    <row r="234" ht="15.75" customHeight="1">
      <c r="A234" s="53"/>
      <c r="B234" s="173"/>
      <c r="C234" s="173"/>
      <c r="D234" s="174"/>
      <c r="E234" s="53"/>
      <c r="F234" s="53"/>
      <c r="G234" s="53"/>
    </row>
    <row r="235" ht="15.75" customHeight="1">
      <c r="A235" s="53"/>
      <c r="B235" s="173"/>
      <c r="C235" s="173"/>
      <c r="D235" s="174"/>
      <c r="E235" s="53"/>
      <c r="F235" s="53"/>
      <c r="G235" s="53"/>
    </row>
    <row r="236" ht="15.75" customHeight="1">
      <c r="A236" s="53"/>
      <c r="B236" s="173"/>
      <c r="C236" s="173"/>
      <c r="D236" s="174"/>
      <c r="E236" s="53"/>
      <c r="F236" s="53"/>
      <c r="G236" s="53"/>
    </row>
    <row r="237" ht="15.75" customHeight="1">
      <c r="A237" s="53"/>
      <c r="B237" s="173"/>
      <c r="C237" s="173"/>
      <c r="D237" s="174"/>
      <c r="E237" s="53"/>
      <c r="F237" s="53"/>
      <c r="G237" s="53"/>
    </row>
    <row r="238" ht="15.75" customHeight="1">
      <c r="A238" s="53"/>
      <c r="B238" s="173"/>
      <c r="C238" s="173"/>
      <c r="D238" s="174"/>
      <c r="E238" s="53"/>
      <c r="F238" s="53"/>
      <c r="G238" s="53"/>
    </row>
    <row r="239" ht="15.75" customHeight="1">
      <c r="A239" s="53"/>
      <c r="B239" s="173"/>
      <c r="C239" s="173"/>
      <c r="D239" s="174"/>
      <c r="E239" s="53"/>
      <c r="F239" s="53"/>
      <c r="G239" s="53"/>
    </row>
    <row r="240" ht="15.75" customHeight="1">
      <c r="A240" s="53"/>
      <c r="B240" s="173"/>
      <c r="C240" s="173"/>
      <c r="D240" s="174"/>
      <c r="E240" s="53"/>
      <c r="F240" s="53"/>
      <c r="G240" s="53"/>
    </row>
    <row r="241" ht="15.75" customHeight="1">
      <c r="A241" s="53"/>
      <c r="B241" s="173"/>
      <c r="C241" s="173"/>
      <c r="D241" s="174"/>
      <c r="E241" s="53"/>
      <c r="F241" s="53"/>
      <c r="G241" s="53"/>
    </row>
    <row r="242" ht="15.75" customHeight="1">
      <c r="A242" s="53"/>
      <c r="B242" s="173"/>
      <c r="C242" s="173"/>
      <c r="D242" s="174"/>
      <c r="E242" s="53"/>
      <c r="F242" s="53"/>
      <c r="G242" s="53"/>
    </row>
    <row r="243" ht="15.75" customHeight="1">
      <c r="A243" s="53"/>
      <c r="B243" s="173"/>
      <c r="C243" s="173"/>
      <c r="D243" s="174"/>
      <c r="E243" s="53"/>
      <c r="F243" s="53"/>
      <c r="G243" s="53"/>
    </row>
    <row r="244" ht="15.75" customHeight="1">
      <c r="A244" s="53"/>
      <c r="B244" s="173"/>
      <c r="C244" s="173"/>
      <c r="D244" s="174"/>
      <c r="E244" s="53"/>
      <c r="F244" s="53"/>
      <c r="G244" s="53"/>
    </row>
    <row r="245" ht="15.75" customHeight="1">
      <c r="A245" s="53"/>
      <c r="B245" s="173"/>
      <c r="C245" s="173"/>
      <c r="D245" s="174"/>
      <c r="E245" s="53"/>
      <c r="F245" s="53"/>
      <c r="G245" s="53"/>
    </row>
    <row r="246" ht="15.75" customHeight="1">
      <c r="A246" s="53"/>
      <c r="B246" s="173"/>
      <c r="C246" s="173"/>
      <c r="D246" s="174"/>
      <c r="E246" s="53"/>
      <c r="F246" s="53"/>
      <c r="G246" s="53"/>
    </row>
    <row r="247" ht="15.75" customHeight="1">
      <c r="A247" s="53"/>
      <c r="B247" s="173"/>
      <c r="C247" s="173"/>
      <c r="D247" s="174"/>
      <c r="E247" s="53"/>
      <c r="F247" s="53"/>
      <c r="G247" s="53"/>
    </row>
    <row r="248" ht="15.75" customHeight="1">
      <c r="A248" s="53"/>
      <c r="B248" s="173"/>
      <c r="C248" s="173"/>
      <c r="D248" s="174"/>
      <c r="E248" s="53"/>
      <c r="F248" s="53"/>
      <c r="G248" s="53"/>
    </row>
    <row r="249" ht="15.75" customHeight="1">
      <c r="A249" s="53"/>
      <c r="B249" s="173"/>
      <c r="C249" s="173"/>
      <c r="D249" s="174"/>
      <c r="E249" s="53"/>
      <c r="F249" s="53"/>
      <c r="G249" s="53"/>
    </row>
    <row r="250" ht="15.75" customHeight="1">
      <c r="A250" s="53"/>
      <c r="B250" s="173"/>
      <c r="C250" s="173"/>
      <c r="D250" s="174"/>
      <c r="E250" s="53"/>
      <c r="F250" s="53"/>
      <c r="G250" s="53"/>
    </row>
    <row r="251" ht="15.75" customHeight="1">
      <c r="A251" s="53"/>
      <c r="B251" s="173"/>
      <c r="C251" s="173"/>
      <c r="D251" s="174"/>
      <c r="E251" s="53"/>
      <c r="F251" s="53"/>
      <c r="G251" s="53"/>
    </row>
    <row r="252" ht="15.75" customHeight="1">
      <c r="A252" s="53"/>
      <c r="B252" s="173"/>
      <c r="C252" s="173"/>
      <c r="D252" s="174"/>
      <c r="E252" s="53"/>
      <c r="F252" s="53"/>
      <c r="G252" s="53"/>
    </row>
    <row r="253" ht="15.75" customHeight="1">
      <c r="A253" s="53"/>
      <c r="B253" s="173"/>
      <c r="C253" s="173"/>
      <c r="D253" s="174"/>
      <c r="E253" s="53"/>
      <c r="F253" s="53"/>
      <c r="G253" s="53"/>
    </row>
    <row r="254" ht="15.75" customHeight="1">
      <c r="A254" s="53"/>
      <c r="B254" s="173"/>
      <c r="C254" s="173"/>
      <c r="D254" s="174"/>
      <c r="E254" s="53"/>
      <c r="F254" s="53"/>
      <c r="G254" s="53"/>
    </row>
    <row r="255" ht="15.75" customHeight="1">
      <c r="A255" s="53"/>
      <c r="B255" s="173"/>
      <c r="C255" s="173"/>
      <c r="D255" s="174"/>
      <c r="E255" s="53"/>
      <c r="F255" s="53"/>
      <c r="G255" s="53"/>
    </row>
    <row r="256" ht="15.75" customHeight="1">
      <c r="A256" s="53"/>
      <c r="B256" s="173"/>
      <c r="C256" s="173"/>
      <c r="D256" s="174"/>
      <c r="E256" s="53"/>
      <c r="F256" s="53"/>
      <c r="G256" s="53"/>
    </row>
    <row r="257" ht="15.75" customHeight="1">
      <c r="A257" s="53"/>
      <c r="B257" s="173"/>
      <c r="C257" s="173"/>
      <c r="D257" s="174"/>
      <c r="E257" s="53"/>
      <c r="F257" s="53"/>
      <c r="G257" s="53"/>
    </row>
    <row r="258" ht="15.75" customHeight="1">
      <c r="A258" s="53"/>
      <c r="B258" s="173"/>
      <c r="C258" s="173"/>
      <c r="D258" s="174"/>
      <c r="E258" s="53"/>
      <c r="F258" s="53"/>
      <c r="G258" s="53"/>
    </row>
    <row r="259" ht="15.75" customHeight="1">
      <c r="A259" s="53"/>
      <c r="B259" s="173"/>
      <c r="C259" s="173"/>
      <c r="D259" s="174"/>
      <c r="E259" s="53"/>
      <c r="F259" s="53"/>
      <c r="G259" s="53"/>
    </row>
    <row r="260" ht="15.75" customHeight="1">
      <c r="A260" s="53"/>
      <c r="B260" s="173"/>
      <c r="C260" s="173"/>
      <c r="D260" s="174"/>
      <c r="E260" s="53"/>
      <c r="F260" s="53"/>
      <c r="G260" s="53"/>
    </row>
    <row r="261" ht="15.75" customHeight="1">
      <c r="A261" s="53"/>
      <c r="B261" s="173"/>
      <c r="C261" s="173"/>
      <c r="D261" s="174"/>
      <c r="E261" s="53"/>
      <c r="F261" s="53"/>
      <c r="G261" s="53"/>
    </row>
    <row r="262" ht="15.75" customHeight="1">
      <c r="A262" s="53"/>
      <c r="B262" s="173"/>
      <c r="C262" s="173"/>
      <c r="D262" s="174"/>
      <c r="E262" s="53"/>
      <c r="F262" s="53"/>
      <c r="G262" s="53"/>
    </row>
    <row r="263" ht="15.75" customHeight="1">
      <c r="A263" s="53"/>
      <c r="B263" s="173"/>
      <c r="C263" s="173"/>
      <c r="D263" s="174"/>
      <c r="E263" s="53"/>
      <c r="F263" s="53"/>
      <c r="G263" s="53"/>
    </row>
    <row r="264" ht="15.75" customHeight="1">
      <c r="A264" s="53"/>
      <c r="B264" s="173"/>
      <c r="C264" s="173"/>
      <c r="D264" s="174"/>
      <c r="E264" s="53"/>
      <c r="F264" s="53"/>
      <c r="G264" s="53"/>
    </row>
    <row r="265" ht="15.75" customHeight="1">
      <c r="A265" s="53"/>
      <c r="B265" s="173"/>
      <c r="C265" s="173"/>
      <c r="D265" s="174"/>
      <c r="E265" s="53"/>
      <c r="F265" s="53"/>
      <c r="G265" s="53"/>
    </row>
    <row r="266" ht="15.75" customHeight="1">
      <c r="A266" s="53"/>
      <c r="B266" s="173"/>
      <c r="C266" s="173"/>
      <c r="D266" s="174"/>
      <c r="E266" s="53"/>
      <c r="F266" s="53"/>
      <c r="G266" s="53"/>
    </row>
    <row r="267" ht="15.75" customHeight="1">
      <c r="A267" s="53"/>
      <c r="B267" s="173"/>
      <c r="C267" s="173"/>
      <c r="D267" s="174"/>
      <c r="E267" s="53"/>
      <c r="F267" s="53"/>
      <c r="G267" s="53"/>
    </row>
    <row r="268" ht="15.75" customHeight="1">
      <c r="A268" s="53"/>
      <c r="B268" s="173"/>
      <c r="C268" s="173"/>
      <c r="D268" s="174"/>
      <c r="E268" s="53"/>
      <c r="F268" s="53"/>
      <c r="G268" s="53"/>
    </row>
    <row r="269" ht="15.75" customHeight="1">
      <c r="A269" s="53"/>
      <c r="B269" s="173"/>
      <c r="C269" s="173"/>
      <c r="D269" s="174"/>
      <c r="E269" s="53"/>
      <c r="F269" s="53"/>
      <c r="G269" s="53"/>
    </row>
    <row r="270" ht="15.75" customHeight="1">
      <c r="A270" s="53"/>
      <c r="B270" s="173"/>
      <c r="C270" s="173"/>
      <c r="D270" s="174"/>
      <c r="E270" s="53"/>
      <c r="F270" s="53"/>
      <c r="G270" s="53"/>
    </row>
    <row r="271" ht="15.75" customHeight="1">
      <c r="A271" s="53"/>
      <c r="B271" s="173"/>
      <c r="C271" s="173"/>
      <c r="D271" s="174"/>
      <c r="E271" s="53"/>
      <c r="F271" s="53"/>
      <c r="G271" s="53"/>
    </row>
    <row r="272" ht="15.75" customHeight="1">
      <c r="A272" s="53"/>
      <c r="B272" s="173"/>
      <c r="C272" s="173"/>
      <c r="D272" s="174"/>
      <c r="E272" s="53"/>
      <c r="F272" s="53"/>
      <c r="G272" s="53"/>
    </row>
    <row r="273" ht="15.75" customHeight="1">
      <c r="A273" s="53"/>
      <c r="B273" s="173"/>
      <c r="C273" s="173"/>
      <c r="D273" s="174"/>
      <c r="E273" s="53"/>
      <c r="F273" s="53"/>
      <c r="G273" s="53"/>
    </row>
    <row r="274" ht="15.75" customHeight="1">
      <c r="A274" s="53"/>
      <c r="B274" s="173"/>
      <c r="C274" s="173"/>
      <c r="D274" s="174"/>
      <c r="E274" s="53"/>
      <c r="F274" s="53"/>
      <c r="G274" s="53"/>
    </row>
    <row r="275" ht="15.75" customHeight="1">
      <c r="A275" s="53"/>
      <c r="B275" s="173"/>
      <c r="C275" s="173"/>
      <c r="D275" s="174"/>
      <c r="E275" s="53"/>
      <c r="F275" s="53"/>
      <c r="G275" s="53"/>
    </row>
    <row r="276" ht="15.75" customHeight="1">
      <c r="A276" s="53"/>
      <c r="B276" s="173"/>
      <c r="C276" s="173"/>
      <c r="D276" s="174"/>
      <c r="E276" s="53"/>
      <c r="F276" s="53"/>
      <c r="G276" s="53"/>
    </row>
    <row r="277" ht="15.75" customHeight="1">
      <c r="A277" s="53"/>
      <c r="B277" s="173"/>
      <c r="C277" s="173"/>
      <c r="D277" s="174"/>
      <c r="E277" s="53"/>
      <c r="F277" s="53"/>
      <c r="G277" s="53"/>
    </row>
    <row r="278" ht="15.75" customHeight="1">
      <c r="A278" s="53"/>
      <c r="B278" s="173"/>
      <c r="C278" s="173"/>
      <c r="D278" s="174"/>
      <c r="E278" s="53"/>
      <c r="F278" s="53"/>
      <c r="G278" s="53"/>
    </row>
    <row r="279" ht="15.75" customHeight="1">
      <c r="A279" s="53"/>
      <c r="B279" s="173"/>
      <c r="C279" s="173"/>
      <c r="D279" s="174"/>
      <c r="E279" s="53"/>
      <c r="F279" s="53"/>
      <c r="G279" s="53"/>
    </row>
    <row r="280" ht="15.75" customHeight="1">
      <c r="A280" s="53"/>
      <c r="B280" s="173"/>
      <c r="C280" s="173"/>
      <c r="D280" s="174"/>
      <c r="E280" s="53"/>
      <c r="F280" s="53"/>
      <c r="G280" s="53"/>
    </row>
    <row r="281" ht="15.75" customHeight="1">
      <c r="A281" s="53"/>
      <c r="B281" s="53"/>
      <c r="C281" s="53"/>
      <c r="D281" s="53"/>
      <c r="E281" s="53"/>
      <c r="F281" s="53"/>
      <c r="G281" s="53"/>
    </row>
    <row r="282" ht="15.75" customHeight="1">
      <c r="A282" s="53"/>
      <c r="B282" s="53"/>
      <c r="C282" s="53"/>
      <c r="D282" s="53"/>
      <c r="E282" s="53"/>
      <c r="F282" s="53"/>
      <c r="G282" s="53"/>
    </row>
    <row r="283" ht="15.75" customHeight="1">
      <c r="A283" s="53"/>
      <c r="B283" s="53"/>
      <c r="C283" s="53"/>
      <c r="D283" s="53"/>
      <c r="E283" s="53"/>
      <c r="F283" s="53"/>
      <c r="G283" s="53"/>
    </row>
    <row r="284" ht="15.75" customHeight="1">
      <c r="A284" s="53"/>
      <c r="B284" s="53"/>
      <c r="C284" s="53"/>
      <c r="D284" s="53"/>
      <c r="E284" s="53"/>
      <c r="F284" s="53"/>
      <c r="G284" s="53"/>
    </row>
    <row r="285" ht="15.75" customHeight="1">
      <c r="A285" s="53"/>
      <c r="B285" s="53"/>
      <c r="C285" s="53"/>
      <c r="D285" s="53"/>
      <c r="E285" s="53"/>
      <c r="F285" s="53"/>
      <c r="G285" s="53"/>
    </row>
    <row r="286" ht="15.75" customHeight="1">
      <c r="A286" s="53"/>
      <c r="B286" s="53"/>
      <c r="C286" s="53"/>
      <c r="D286" s="53"/>
      <c r="E286" s="53"/>
      <c r="F286" s="53"/>
      <c r="G286" s="53"/>
    </row>
    <row r="287" ht="15.75" customHeight="1">
      <c r="A287" s="53"/>
      <c r="B287" s="53"/>
      <c r="C287" s="53"/>
      <c r="D287" s="53"/>
      <c r="E287" s="53"/>
      <c r="F287" s="53"/>
      <c r="G287" s="53"/>
    </row>
    <row r="288" ht="15.75" customHeight="1">
      <c r="A288" s="53"/>
      <c r="B288" s="53"/>
      <c r="C288" s="53"/>
      <c r="D288" s="53"/>
      <c r="E288" s="53"/>
      <c r="F288" s="53"/>
      <c r="G288" s="53"/>
    </row>
    <row r="289" ht="15.75" customHeight="1">
      <c r="A289" s="53"/>
      <c r="B289" s="53"/>
      <c r="C289" s="53"/>
      <c r="D289" s="53"/>
      <c r="E289" s="53"/>
      <c r="F289" s="53"/>
      <c r="G289" s="53"/>
    </row>
    <row r="290" ht="15.75" customHeight="1">
      <c r="A290" s="53"/>
      <c r="B290" s="53"/>
      <c r="C290" s="53"/>
      <c r="D290" s="53"/>
      <c r="E290" s="53"/>
      <c r="F290" s="53"/>
      <c r="G290" s="53"/>
    </row>
    <row r="291" ht="15.75" customHeight="1">
      <c r="A291" s="53"/>
      <c r="B291" s="53"/>
      <c r="C291" s="53"/>
      <c r="D291" s="53"/>
      <c r="E291" s="53"/>
      <c r="F291" s="53"/>
      <c r="G291" s="53"/>
    </row>
    <row r="292" ht="15.75" customHeight="1">
      <c r="A292" s="53"/>
      <c r="B292" s="53"/>
      <c r="C292" s="53"/>
      <c r="D292" s="53"/>
      <c r="E292" s="53"/>
      <c r="F292" s="53"/>
      <c r="G292" s="53"/>
    </row>
    <row r="293" ht="15.75" customHeight="1">
      <c r="A293" s="53"/>
      <c r="B293" s="53"/>
      <c r="C293" s="53"/>
      <c r="D293" s="53"/>
      <c r="E293" s="53"/>
      <c r="F293" s="53"/>
      <c r="G293" s="53"/>
    </row>
    <row r="294" ht="15.75" customHeight="1">
      <c r="A294" s="53"/>
      <c r="B294" s="53"/>
      <c r="C294" s="53"/>
      <c r="D294" s="53"/>
      <c r="E294" s="53"/>
      <c r="F294" s="53"/>
      <c r="G294" s="53"/>
    </row>
    <row r="295" ht="15.75" customHeight="1">
      <c r="A295" s="53"/>
      <c r="B295" s="53"/>
      <c r="C295" s="53"/>
      <c r="D295" s="53"/>
      <c r="E295" s="53"/>
      <c r="F295" s="53"/>
      <c r="G295" s="53"/>
    </row>
    <row r="296" ht="15.75" customHeight="1">
      <c r="A296" s="53"/>
      <c r="B296" s="53"/>
      <c r="C296" s="53"/>
      <c r="D296" s="53"/>
      <c r="E296" s="53"/>
      <c r="F296" s="53"/>
      <c r="G296" s="53"/>
    </row>
    <row r="297" ht="15.75" customHeight="1">
      <c r="A297" s="53"/>
      <c r="B297" s="53"/>
      <c r="C297" s="53"/>
      <c r="D297" s="53"/>
      <c r="E297" s="53"/>
      <c r="F297" s="53"/>
      <c r="G297" s="53"/>
    </row>
    <row r="298" ht="15.75" customHeight="1">
      <c r="A298" s="53"/>
      <c r="B298" s="53"/>
      <c r="C298" s="53"/>
      <c r="D298" s="53"/>
      <c r="E298" s="53"/>
      <c r="F298" s="53"/>
      <c r="G298" s="53"/>
    </row>
    <row r="299" ht="15.75" customHeight="1">
      <c r="A299" s="53"/>
      <c r="B299" s="53"/>
      <c r="C299" s="53"/>
      <c r="D299" s="53"/>
      <c r="E299" s="53"/>
      <c r="F299" s="53"/>
      <c r="G299" s="53"/>
    </row>
    <row r="300" ht="15.75" customHeight="1">
      <c r="A300" s="53"/>
      <c r="B300" s="53"/>
      <c r="C300" s="53"/>
      <c r="D300" s="53"/>
      <c r="E300" s="53"/>
      <c r="F300" s="53"/>
      <c r="G300" s="53"/>
    </row>
    <row r="301" ht="15.75" customHeight="1">
      <c r="A301" s="53"/>
      <c r="B301" s="53"/>
      <c r="C301" s="53"/>
      <c r="D301" s="53"/>
      <c r="E301" s="53"/>
      <c r="F301" s="53"/>
      <c r="G301" s="53"/>
    </row>
    <row r="302" ht="15.75" customHeight="1">
      <c r="A302" s="53"/>
      <c r="B302" s="53"/>
      <c r="C302" s="53"/>
      <c r="D302" s="53"/>
      <c r="E302" s="53"/>
      <c r="F302" s="53"/>
      <c r="G302" s="53"/>
    </row>
    <row r="303" ht="15.75" customHeight="1">
      <c r="A303" s="53"/>
      <c r="B303" s="53"/>
      <c r="C303" s="53"/>
      <c r="D303" s="53"/>
      <c r="E303" s="53"/>
      <c r="F303" s="53"/>
      <c r="G303" s="53"/>
    </row>
    <row r="304" ht="15.75" customHeight="1">
      <c r="A304" s="53"/>
      <c r="B304" s="53"/>
      <c r="C304" s="53"/>
      <c r="D304" s="53"/>
      <c r="E304" s="53"/>
      <c r="F304" s="53"/>
      <c r="G304" s="53"/>
    </row>
    <row r="305" ht="15.75" customHeight="1">
      <c r="A305" s="53"/>
      <c r="B305" s="53"/>
      <c r="C305" s="53"/>
      <c r="D305" s="53"/>
      <c r="E305" s="53"/>
      <c r="F305" s="53"/>
      <c r="G305" s="53"/>
    </row>
    <row r="306" ht="15.75" customHeight="1">
      <c r="A306" s="53"/>
      <c r="B306" s="53"/>
      <c r="C306" s="53"/>
      <c r="D306" s="53"/>
      <c r="E306" s="53"/>
      <c r="F306" s="53"/>
      <c r="G306" s="53"/>
    </row>
    <row r="307" ht="15.75" customHeight="1">
      <c r="A307" s="53"/>
      <c r="B307" s="53"/>
      <c r="C307" s="53"/>
      <c r="D307" s="53"/>
      <c r="E307" s="53"/>
      <c r="F307" s="53"/>
      <c r="G307" s="53"/>
    </row>
    <row r="308" ht="15.75" customHeight="1">
      <c r="A308" s="53"/>
      <c r="B308" s="53"/>
      <c r="C308" s="53"/>
      <c r="D308" s="53"/>
      <c r="E308" s="53"/>
      <c r="F308" s="53"/>
      <c r="G308" s="53"/>
    </row>
    <row r="309" ht="15.75" customHeight="1">
      <c r="A309" s="53"/>
      <c r="B309" s="53"/>
      <c r="C309" s="53"/>
      <c r="D309" s="53"/>
      <c r="E309" s="53"/>
      <c r="F309" s="53"/>
      <c r="G309" s="53"/>
    </row>
    <row r="310" ht="15.75" customHeight="1">
      <c r="A310" s="53"/>
      <c r="B310" s="53"/>
      <c r="C310" s="53"/>
      <c r="D310" s="53"/>
      <c r="E310" s="53"/>
      <c r="F310" s="53"/>
      <c r="G310" s="53"/>
    </row>
    <row r="311" ht="15.75" customHeight="1">
      <c r="A311" s="53"/>
      <c r="B311" s="53"/>
      <c r="C311" s="53"/>
      <c r="D311" s="53"/>
      <c r="E311" s="53"/>
      <c r="F311" s="53"/>
      <c r="G311" s="53"/>
    </row>
    <row r="312" ht="15.75" customHeight="1">
      <c r="A312" s="53"/>
      <c r="B312" s="53"/>
      <c r="C312" s="53"/>
      <c r="D312" s="53"/>
      <c r="E312" s="53"/>
      <c r="F312" s="53"/>
      <c r="G312" s="53"/>
    </row>
    <row r="313" ht="15.75" customHeight="1">
      <c r="A313" s="53"/>
      <c r="B313" s="53"/>
      <c r="C313" s="53"/>
      <c r="D313" s="53"/>
      <c r="E313" s="53"/>
      <c r="F313" s="53"/>
      <c r="G313" s="53"/>
    </row>
    <row r="314" ht="15.75" customHeight="1">
      <c r="A314" s="53"/>
      <c r="B314" s="53"/>
      <c r="C314" s="53"/>
      <c r="D314" s="53"/>
      <c r="E314" s="53"/>
      <c r="F314" s="53"/>
      <c r="G314" s="53"/>
    </row>
    <row r="315" ht="15.75" customHeight="1">
      <c r="A315" s="53"/>
      <c r="B315" s="53"/>
      <c r="C315" s="53"/>
      <c r="D315" s="53"/>
      <c r="E315" s="53"/>
      <c r="F315" s="53"/>
      <c r="G315" s="53"/>
    </row>
    <row r="316" ht="15.75" customHeight="1">
      <c r="A316" s="53"/>
      <c r="B316" s="53"/>
      <c r="C316" s="53"/>
      <c r="D316" s="53"/>
      <c r="E316" s="53"/>
      <c r="F316" s="53"/>
      <c r="G316" s="53"/>
    </row>
    <row r="317" ht="15.75" customHeight="1">
      <c r="A317" s="53"/>
      <c r="B317" s="53"/>
      <c r="C317" s="53"/>
      <c r="D317" s="53"/>
      <c r="E317" s="53"/>
      <c r="F317" s="53"/>
      <c r="G317" s="53"/>
    </row>
    <row r="318" ht="15.75" customHeight="1">
      <c r="A318" s="53"/>
      <c r="B318" s="53"/>
      <c r="C318" s="53"/>
      <c r="D318" s="53"/>
      <c r="E318" s="53"/>
      <c r="F318" s="53"/>
      <c r="G318" s="53"/>
    </row>
    <row r="319" ht="15.75" customHeight="1">
      <c r="A319" s="53"/>
      <c r="B319" s="53"/>
      <c r="C319" s="53"/>
      <c r="D319" s="53"/>
      <c r="E319" s="53"/>
      <c r="F319" s="53"/>
      <c r="G319" s="53"/>
    </row>
    <row r="320" ht="15.75" customHeight="1">
      <c r="A320" s="53"/>
      <c r="B320" s="53"/>
      <c r="C320" s="53"/>
      <c r="D320" s="53"/>
      <c r="E320" s="53"/>
      <c r="F320" s="53"/>
      <c r="G320" s="53"/>
    </row>
    <row r="321" ht="15.75" customHeight="1">
      <c r="A321" s="53"/>
      <c r="B321" s="53"/>
      <c r="C321" s="53"/>
      <c r="D321" s="53"/>
      <c r="E321" s="53"/>
      <c r="F321" s="53"/>
      <c r="G321" s="53"/>
    </row>
    <row r="322" ht="15.75" customHeight="1">
      <c r="A322" s="53"/>
      <c r="B322" s="53"/>
      <c r="C322" s="53"/>
      <c r="D322" s="53"/>
      <c r="E322" s="53"/>
      <c r="F322" s="53"/>
      <c r="G322" s="53"/>
    </row>
    <row r="323" ht="15.75" customHeight="1">
      <c r="A323" s="53"/>
      <c r="B323" s="53"/>
      <c r="C323" s="53"/>
      <c r="D323" s="53"/>
      <c r="E323" s="53"/>
      <c r="F323" s="53"/>
      <c r="G323" s="53"/>
    </row>
    <row r="324" ht="15.75" customHeight="1">
      <c r="A324" s="53"/>
      <c r="B324" s="53"/>
      <c r="C324" s="53"/>
      <c r="D324" s="53"/>
      <c r="E324" s="53"/>
      <c r="F324" s="53"/>
      <c r="G324" s="53"/>
    </row>
    <row r="325" ht="15.75" customHeight="1">
      <c r="A325" s="53"/>
      <c r="B325" s="53"/>
      <c r="C325" s="53"/>
      <c r="D325" s="53"/>
      <c r="E325" s="53"/>
      <c r="F325" s="53"/>
      <c r="G325" s="53"/>
    </row>
    <row r="326" ht="15.75" customHeight="1">
      <c r="A326" s="53"/>
      <c r="B326" s="53"/>
      <c r="C326" s="53"/>
      <c r="D326" s="53"/>
      <c r="E326" s="53"/>
      <c r="F326" s="53"/>
      <c r="G326" s="53"/>
    </row>
    <row r="327" ht="15.75" customHeight="1">
      <c r="A327" s="53"/>
      <c r="B327" s="53"/>
      <c r="C327" s="53"/>
      <c r="D327" s="53"/>
      <c r="E327" s="53"/>
      <c r="F327" s="53"/>
      <c r="G327" s="53"/>
    </row>
    <row r="328" ht="15.75" customHeight="1">
      <c r="A328" s="53"/>
      <c r="B328" s="53"/>
      <c r="C328" s="53"/>
      <c r="D328" s="53"/>
      <c r="E328" s="53"/>
      <c r="F328" s="53"/>
      <c r="G328" s="53"/>
    </row>
    <row r="329" ht="15.75" customHeight="1">
      <c r="A329" s="53"/>
      <c r="B329" s="53"/>
      <c r="C329" s="53"/>
      <c r="D329" s="53"/>
      <c r="E329" s="53"/>
      <c r="F329" s="53"/>
      <c r="G329" s="53"/>
    </row>
    <row r="330" ht="15.75" customHeight="1">
      <c r="A330" s="53"/>
      <c r="B330" s="53"/>
      <c r="C330" s="53"/>
      <c r="D330" s="53"/>
      <c r="E330" s="53"/>
      <c r="F330" s="53"/>
      <c r="G330" s="53"/>
    </row>
    <row r="331" ht="15.75" customHeight="1">
      <c r="A331" s="53"/>
      <c r="B331" s="53"/>
      <c r="C331" s="53"/>
      <c r="D331" s="53"/>
      <c r="E331" s="53"/>
      <c r="F331" s="53"/>
      <c r="G331" s="53"/>
    </row>
    <row r="332" ht="15.75" customHeight="1">
      <c r="A332" s="53"/>
      <c r="B332" s="53"/>
      <c r="C332" s="53"/>
      <c r="D332" s="53"/>
      <c r="E332" s="53"/>
      <c r="F332" s="53"/>
      <c r="G332" s="53"/>
    </row>
    <row r="333" ht="15.75" customHeight="1">
      <c r="A333" s="53"/>
      <c r="B333" s="53"/>
      <c r="C333" s="53"/>
      <c r="D333" s="53"/>
      <c r="E333" s="53"/>
      <c r="F333" s="53"/>
      <c r="G333" s="53"/>
    </row>
    <row r="334" ht="15.75" customHeight="1">
      <c r="A334" s="53"/>
      <c r="B334" s="53"/>
      <c r="C334" s="53"/>
      <c r="D334" s="53"/>
      <c r="E334" s="53"/>
      <c r="F334" s="53"/>
      <c r="G334" s="53"/>
    </row>
    <row r="335" ht="15.75" customHeight="1">
      <c r="A335" s="53"/>
      <c r="B335" s="53"/>
      <c r="C335" s="53"/>
      <c r="D335" s="53"/>
      <c r="E335" s="53"/>
      <c r="F335" s="53"/>
      <c r="G335" s="53"/>
    </row>
    <row r="336" ht="15.75" customHeight="1">
      <c r="A336" s="53"/>
      <c r="B336" s="53"/>
      <c r="C336" s="53"/>
      <c r="D336" s="53"/>
      <c r="E336" s="53"/>
      <c r="F336" s="53"/>
      <c r="G336" s="53"/>
    </row>
    <row r="337" ht="15.75" customHeight="1">
      <c r="A337" s="53"/>
      <c r="B337" s="53"/>
      <c r="C337" s="53"/>
      <c r="D337" s="53"/>
      <c r="E337" s="53"/>
      <c r="F337" s="53"/>
      <c r="G337" s="53"/>
    </row>
    <row r="338" ht="15.75" customHeight="1">
      <c r="A338" s="53"/>
      <c r="B338" s="53"/>
      <c r="C338" s="53"/>
      <c r="D338" s="53"/>
      <c r="E338" s="53"/>
      <c r="F338" s="53"/>
      <c r="G338" s="53"/>
    </row>
    <row r="339" ht="15.75" customHeight="1">
      <c r="A339" s="53"/>
      <c r="B339" s="53"/>
      <c r="C339" s="53"/>
      <c r="D339" s="53"/>
      <c r="E339" s="53"/>
      <c r="F339" s="53"/>
      <c r="G339" s="53"/>
    </row>
    <row r="340" ht="15.75" customHeight="1">
      <c r="A340" s="53"/>
      <c r="B340" s="53"/>
      <c r="C340" s="53"/>
      <c r="D340" s="53"/>
      <c r="E340" s="53"/>
      <c r="F340" s="53"/>
      <c r="G340" s="53"/>
    </row>
    <row r="341" ht="15.75" customHeight="1">
      <c r="A341" s="53"/>
      <c r="B341" s="53"/>
      <c r="C341" s="53"/>
      <c r="D341" s="53"/>
      <c r="E341" s="53"/>
      <c r="F341" s="53"/>
      <c r="G341" s="53"/>
    </row>
    <row r="342" ht="15.75" customHeight="1">
      <c r="A342" s="53"/>
      <c r="B342" s="53"/>
      <c r="C342" s="53"/>
      <c r="D342" s="53"/>
      <c r="E342" s="53"/>
      <c r="F342" s="53"/>
      <c r="G342" s="53"/>
    </row>
    <row r="343" ht="15.75" customHeight="1">
      <c r="A343" s="53"/>
      <c r="B343" s="53"/>
      <c r="C343" s="53"/>
      <c r="D343" s="53"/>
      <c r="E343" s="53"/>
      <c r="F343" s="53"/>
      <c r="G343" s="53"/>
    </row>
    <row r="344" ht="15.75" customHeight="1">
      <c r="A344" s="53"/>
      <c r="B344" s="53"/>
      <c r="C344" s="53"/>
      <c r="D344" s="53"/>
      <c r="E344" s="53"/>
      <c r="F344" s="53"/>
      <c r="G344" s="53"/>
    </row>
    <row r="345" ht="15.75" customHeight="1">
      <c r="A345" s="53"/>
      <c r="B345" s="53"/>
      <c r="C345" s="53"/>
      <c r="D345" s="53"/>
      <c r="E345" s="53"/>
      <c r="F345" s="53"/>
      <c r="G345" s="53"/>
    </row>
    <row r="346" ht="15.75" customHeight="1">
      <c r="A346" s="53"/>
      <c r="B346" s="53"/>
      <c r="C346" s="53"/>
      <c r="D346" s="53"/>
      <c r="E346" s="53"/>
      <c r="F346" s="53"/>
      <c r="G346" s="53"/>
    </row>
    <row r="347" ht="15.75" customHeight="1">
      <c r="A347" s="53"/>
      <c r="B347" s="53"/>
      <c r="C347" s="53"/>
      <c r="D347" s="53"/>
      <c r="E347" s="53"/>
      <c r="F347" s="53"/>
      <c r="G347" s="53"/>
    </row>
    <row r="348" ht="15.75" customHeight="1">
      <c r="A348" s="53"/>
      <c r="B348" s="53"/>
      <c r="C348" s="53"/>
      <c r="D348" s="53"/>
      <c r="E348" s="53"/>
      <c r="F348" s="53"/>
      <c r="G348" s="53"/>
    </row>
    <row r="349" ht="15.75" customHeight="1">
      <c r="A349" s="53"/>
      <c r="B349" s="53"/>
      <c r="C349" s="53"/>
      <c r="D349" s="53"/>
      <c r="E349" s="53"/>
      <c r="F349" s="53"/>
      <c r="G349" s="53"/>
    </row>
    <row r="350" ht="15.75" customHeight="1">
      <c r="A350" s="53"/>
      <c r="B350" s="53"/>
      <c r="C350" s="53"/>
      <c r="D350" s="53"/>
      <c r="E350" s="53"/>
      <c r="F350" s="53"/>
      <c r="G350" s="53"/>
    </row>
    <row r="351" ht="15.75" customHeight="1">
      <c r="A351" s="53"/>
      <c r="B351" s="53"/>
      <c r="C351" s="53"/>
      <c r="D351" s="53"/>
      <c r="E351" s="53"/>
      <c r="F351" s="53"/>
      <c r="G351" s="53"/>
    </row>
    <row r="352" ht="15.75" customHeight="1">
      <c r="A352" s="53"/>
      <c r="B352" s="53"/>
      <c r="C352" s="53"/>
      <c r="D352" s="53"/>
      <c r="E352" s="53"/>
      <c r="F352" s="53"/>
      <c r="G352" s="53"/>
    </row>
    <row r="353" ht="15.75" customHeight="1">
      <c r="A353" s="53"/>
      <c r="B353" s="53"/>
      <c r="C353" s="53"/>
      <c r="D353" s="53"/>
      <c r="E353" s="53"/>
      <c r="F353" s="53"/>
      <c r="G353" s="53"/>
    </row>
    <row r="354" ht="15.75" customHeight="1">
      <c r="A354" s="53"/>
      <c r="B354" s="53"/>
      <c r="C354" s="53"/>
      <c r="D354" s="53"/>
      <c r="E354" s="53"/>
      <c r="F354" s="53"/>
      <c r="G354" s="53"/>
    </row>
    <row r="355" ht="15.75" customHeight="1">
      <c r="A355" s="53"/>
      <c r="B355" s="53"/>
      <c r="C355" s="53"/>
      <c r="D355" s="53"/>
      <c r="E355" s="53"/>
      <c r="F355" s="53"/>
      <c r="G355" s="53"/>
    </row>
    <row r="356" ht="15.75" customHeight="1">
      <c r="A356" s="53"/>
      <c r="B356" s="53"/>
      <c r="C356" s="53"/>
      <c r="D356" s="53"/>
      <c r="E356" s="53"/>
      <c r="F356" s="53"/>
      <c r="G356" s="53"/>
    </row>
    <row r="357" ht="15.75" customHeight="1">
      <c r="A357" s="53"/>
      <c r="B357" s="53"/>
      <c r="C357" s="53"/>
      <c r="D357" s="53"/>
      <c r="E357" s="53"/>
      <c r="F357" s="53"/>
      <c r="G357" s="53"/>
    </row>
    <row r="358" ht="15.75" customHeight="1">
      <c r="A358" s="53"/>
      <c r="B358" s="53"/>
      <c r="C358" s="53"/>
      <c r="D358" s="53"/>
      <c r="E358" s="53"/>
      <c r="F358" s="53"/>
      <c r="G358" s="53"/>
    </row>
    <row r="359" ht="15.75" customHeight="1">
      <c r="A359" s="53"/>
      <c r="B359" s="53"/>
      <c r="C359" s="53"/>
      <c r="D359" s="53"/>
      <c r="E359" s="53"/>
      <c r="F359" s="53"/>
      <c r="G359" s="53"/>
    </row>
    <row r="360" ht="15.75" customHeight="1">
      <c r="A360" s="53"/>
      <c r="B360" s="53"/>
      <c r="C360" s="53"/>
      <c r="D360" s="53"/>
      <c r="E360" s="53"/>
      <c r="F360" s="53"/>
      <c r="G360" s="53"/>
    </row>
    <row r="361" ht="15.75" customHeight="1">
      <c r="A361" s="53"/>
      <c r="B361" s="53"/>
      <c r="C361" s="53"/>
      <c r="D361" s="53"/>
      <c r="E361" s="53"/>
      <c r="F361" s="53"/>
      <c r="G361" s="53"/>
    </row>
    <row r="362" ht="15.75" customHeight="1">
      <c r="A362" s="53"/>
      <c r="B362" s="53"/>
      <c r="C362" s="53"/>
      <c r="D362" s="53"/>
      <c r="E362" s="53"/>
      <c r="F362" s="53"/>
      <c r="G362" s="53"/>
    </row>
    <row r="363" ht="15.75" customHeight="1">
      <c r="A363" s="53"/>
      <c r="B363" s="53"/>
      <c r="C363" s="53"/>
      <c r="D363" s="53"/>
      <c r="E363" s="53"/>
      <c r="F363" s="53"/>
      <c r="G363" s="53"/>
    </row>
    <row r="364" ht="15.75" customHeight="1">
      <c r="A364" s="53"/>
      <c r="B364" s="53"/>
      <c r="C364" s="53"/>
      <c r="D364" s="53"/>
      <c r="E364" s="53"/>
      <c r="F364" s="53"/>
      <c r="G364" s="53"/>
    </row>
    <row r="365" ht="15.75" customHeight="1">
      <c r="A365" s="53"/>
      <c r="B365" s="53"/>
      <c r="C365" s="53"/>
      <c r="D365" s="53"/>
      <c r="E365" s="53"/>
      <c r="F365" s="53"/>
      <c r="G365" s="53"/>
    </row>
    <row r="366" ht="15.75" customHeight="1">
      <c r="A366" s="53"/>
      <c r="B366" s="53"/>
      <c r="C366" s="53"/>
      <c r="D366" s="53"/>
      <c r="E366" s="53"/>
      <c r="F366" s="53"/>
      <c r="G366" s="53"/>
    </row>
    <row r="367" ht="15.75" customHeight="1">
      <c r="A367" s="53"/>
      <c r="B367" s="53"/>
      <c r="C367" s="53"/>
      <c r="D367" s="53"/>
      <c r="E367" s="53"/>
      <c r="F367" s="53"/>
      <c r="G367" s="53"/>
    </row>
    <row r="368" ht="15.75" customHeight="1">
      <c r="A368" s="53"/>
      <c r="B368" s="53"/>
      <c r="C368" s="53"/>
      <c r="D368" s="53"/>
      <c r="E368" s="53"/>
      <c r="F368" s="53"/>
      <c r="G368" s="53"/>
    </row>
    <row r="369" ht="15.75" customHeight="1">
      <c r="A369" s="53"/>
      <c r="B369" s="53"/>
      <c r="C369" s="53"/>
      <c r="D369" s="53"/>
      <c r="E369" s="53"/>
      <c r="F369" s="53"/>
      <c r="G369" s="53"/>
    </row>
    <row r="370" ht="15.75" customHeight="1">
      <c r="A370" s="53"/>
      <c r="B370" s="53"/>
      <c r="C370" s="53"/>
      <c r="D370" s="53"/>
      <c r="E370" s="53"/>
      <c r="F370" s="53"/>
      <c r="G370" s="53"/>
    </row>
    <row r="371" ht="15.75" customHeight="1">
      <c r="A371" s="53"/>
      <c r="B371" s="53"/>
      <c r="C371" s="53"/>
      <c r="D371" s="53"/>
      <c r="E371" s="53"/>
      <c r="F371" s="53"/>
      <c r="G371" s="53"/>
    </row>
    <row r="372" ht="15.75" customHeight="1">
      <c r="A372" s="53"/>
      <c r="B372" s="53"/>
      <c r="C372" s="53"/>
      <c r="D372" s="53"/>
      <c r="E372" s="53"/>
      <c r="F372" s="53"/>
      <c r="G372" s="53"/>
    </row>
    <row r="373" ht="15.75" customHeight="1">
      <c r="A373" s="53"/>
      <c r="B373" s="53"/>
      <c r="C373" s="53"/>
      <c r="D373" s="53"/>
      <c r="E373" s="53"/>
      <c r="F373" s="53"/>
      <c r="G373" s="53"/>
    </row>
    <row r="374" ht="15.75" customHeight="1">
      <c r="A374" s="53"/>
      <c r="B374" s="53"/>
      <c r="C374" s="53"/>
      <c r="D374" s="53"/>
      <c r="E374" s="53"/>
      <c r="F374" s="53"/>
      <c r="G374" s="53"/>
    </row>
    <row r="375" ht="15.75" customHeight="1">
      <c r="A375" s="53"/>
      <c r="B375" s="53"/>
      <c r="C375" s="53"/>
      <c r="D375" s="53"/>
      <c r="E375" s="53"/>
      <c r="F375" s="53"/>
      <c r="G375" s="53"/>
    </row>
    <row r="376" ht="15.75" customHeight="1">
      <c r="A376" s="53"/>
      <c r="B376" s="53"/>
      <c r="C376" s="53"/>
      <c r="D376" s="53"/>
      <c r="E376" s="53"/>
      <c r="F376" s="53"/>
      <c r="G376" s="53"/>
    </row>
    <row r="377" ht="15.75" customHeight="1">
      <c r="A377" s="53"/>
      <c r="B377" s="53"/>
      <c r="C377" s="53"/>
      <c r="D377" s="53"/>
      <c r="E377" s="53"/>
      <c r="F377" s="53"/>
      <c r="G377" s="53"/>
    </row>
    <row r="378" ht="15.75" customHeight="1">
      <c r="A378" s="53"/>
      <c r="B378" s="53"/>
      <c r="C378" s="53"/>
      <c r="D378" s="53"/>
      <c r="E378" s="53"/>
      <c r="F378" s="53"/>
      <c r="G378" s="53"/>
    </row>
    <row r="379" ht="15.75" customHeight="1">
      <c r="A379" s="53"/>
      <c r="B379" s="53"/>
      <c r="C379" s="53"/>
      <c r="D379" s="53"/>
      <c r="E379" s="53"/>
      <c r="F379" s="53"/>
      <c r="G379" s="53"/>
    </row>
    <row r="380" ht="15.75" customHeight="1">
      <c r="A380" s="53"/>
      <c r="B380" s="53"/>
      <c r="C380" s="53"/>
      <c r="D380" s="53"/>
      <c r="E380" s="53"/>
      <c r="F380" s="53"/>
      <c r="G380" s="53"/>
    </row>
    <row r="381" ht="15.75" customHeight="1">
      <c r="A381" s="53"/>
      <c r="B381" s="53"/>
      <c r="C381" s="53"/>
      <c r="D381" s="53"/>
      <c r="E381" s="53"/>
      <c r="F381" s="53"/>
      <c r="G381" s="53"/>
    </row>
    <row r="382" ht="15.75" customHeight="1">
      <c r="A382" s="53"/>
      <c r="B382" s="53"/>
      <c r="C382" s="53"/>
      <c r="D382" s="53"/>
      <c r="E382" s="53"/>
      <c r="F382" s="53"/>
      <c r="G382" s="53"/>
    </row>
    <row r="383" ht="15.75" customHeight="1">
      <c r="A383" s="53"/>
      <c r="B383" s="53"/>
      <c r="C383" s="53"/>
      <c r="D383" s="53"/>
      <c r="E383" s="53"/>
      <c r="F383" s="53"/>
      <c r="G383" s="53"/>
    </row>
    <row r="384" ht="15.75" customHeight="1">
      <c r="A384" s="53"/>
      <c r="B384" s="53"/>
      <c r="C384" s="53"/>
      <c r="D384" s="53"/>
      <c r="E384" s="53"/>
      <c r="F384" s="53"/>
      <c r="G384" s="53"/>
    </row>
    <row r="385" ht="15.75" customHeight="1">
      <c r="A385" s="53"/>
      <c r="B385" s="53"/>
      <c r="C385" s="53"/>
      <c r="D385" s="53"/>
      <c r="E385" s="53"/>
      <c r="F385" s="53"/>
      <c r="G385" s="53"/>
    </row>
    <row r="386" ht="15.75" customHeight="1">
      <c r="A386" s="53"/>
      <c r="B386" s="53"/>
      <c r="C386" s="53"/>
      <c r="D386" s="53"/>
      <c r="E386" s="53"/>
      <c r="F386" s="53"/>
      <c r="G386" s="53"/>
    </row>
    <row r="387" ht="15.75" customHeight="1">
      <c r="A387" s="53"/>
      <c r="B387" s="53"/>
      <c r="C387" s="53"/>
      <c r="D387" s="53"/>
      <c r="E387" s="53"/>
      <c r="F387" s="53"/>
      <c r="G387" s="53"/>
    </row>
    <row r="388" ht="15.75" customHeight="1">
      <c r="A388" s="53"/>
      <c r="B388" s="53"/>
      <c r="C388" s="53"/>
      <c r="D388" s="53"/>
      <c r="E388" s="53"/>
      <c r="F388" s="53"/>
      <c r="G388" s="53"/>
    </row>
    <row r="389" ht="15.75" customHeight="1">
      <c r="A389" s="53"/>
      <c r="B389" s="53"/>
      <c r="C389" s="53"/>
      <c r="D389" s="53"/>
      <c r="E389" s="53"/>
      <c r="F389" s="53"/>
      <c r="G389" s="53"/>
    </row>
    <row r="390" ht="15.75" customHeight="1">
      <c r="A390" s="53"/>
      <c r="B390" s="53"/>
      <c r="C390" s="53"/>
      <c r="D390" s="53"/>
      <c r="E390" s="53"/>
      <c r="F390" s="53"/>
      <c r="G390" s="53"/>
    </row>
    <row r="391" ht="15.75" customHeight="1">
      <c r="A391" s="53"/>
      <c r="B391" s="53"/>
      <c r="C391" s="53"/>
      <c r="D391" s="53"/>
      <c r="E391" s="53"/>
      <c r="F391" s="53"/>
      <c r="G391" s="53"/>
    </row>
    <row r="392" ht="15.75" customHeight="1">
      <c r="A392" s="53"/>
      <c r="B392" s="53"/>
      <c r="C392" s="53"/>
      <c r="D392" s="53"/>
      <c r="E392" s="53"/>
      <c r="F392" s="53"/>
      <c r="G392" s="53"/>
    </row>
    <row r="393" ht="15.75" customHeight="1">
      <c r="A393" s="53"/>
      <c r="B393" s="53"/>
      <c r="C393" s="53"/>
      <c r="D393" s="53"/>
      <c r="E393" s="53"/>
      <c r="F393" s="53"/>
      <c r="G393" s="53"/>
    </row>
    <row r="394" ht="15.75" customHeight="1">
      <c r="A394" s="53"/>
      <c r="B394" s="53"/>
      <c r="C394" s="53"/>
      <c r="D394" s="53"/>
      <c r="E394" s="53"/>
      <c r="F394" s="53"/>
      <c r="G394" s="53"/>
    </row>
    <row r="395" ht="15.75" customHeight="1">
      <c r="A395" s="53"/>
      <c r="B395" s="53"/>
      <c r="C395" s="53"/>
      <c r="D395" s="53"/>
      <c r="E395" s="53"/>
      <c r="F395" s="53"/>
      <c r="G395" s="53"/>
    </row>
    <row r="396" ht="15.75" customHeight="1">
      <c r="A396" s="53"/>
      <c r="B396" s="53"/>
      <c r="C396" s="53"/>
      <c r="D396" s="53"/>
      <c r="E396" s="53"/>
      <c r="F396" s="53"/>
      <c r="G396" s="53"/>
    </row>
    <row r="397" ht="15.75" customHeight="1">
      <c r="A397" s="53"/>
      <c r="B397" s="53"/>
      <c r="C397" s="53"/>
      <c r="D397" s="53"/>
      <c r="E397" s="53"/>
      <c r="F397" s="53"/>
      <c r="G397" s="53"/>
    </row>
    <row r="398" ht="15.75" customHeight="1">
      <c r="A398" s="53"/>
      <c r="B398" s="53"/>
      <c r="C398" s="53"/>
      <c r="D398" s="53"/>
      <c r="E398" s="53"/>
      <c r="F398" s="53"/>
      <c r="G398" s="53"/>
    </row>
    <row r="399" ht="15.75" customHeight="1">
      <c r="A399" s="53"/>
      <c r="B399" s="53"/>
      <c r="C399" s="53"/>
      <c r="D399" s="53"/>
      <c r="E399" s="53"/>
      <c r="F399" s="53"/>
      <c r="G399" s="53"/>
    </row>
    <row r="400" ht="15.75" customHeight="1">
      <c r="A400" s="53"/>
      <c r="B400" s="53"/>
      <c r="C400" s="53"/>
      <c r="D400" s="53"/>
      <c r="E400" s="53"/>
      <c r="F400" s="53"/>
      <c r="G400" s="53"/>
    </row>
    <row r="401" ht="15.75" customHeight="1">
      <c r="A401" s="53"/>
      <c r="B401" s="53"/>
      <c r="C401" s="53"/>
      <c r="D401" s="53"/>
      <c r="E401" s="53"/>
      <c r="F401" s="53"/>
      <c r="G401" s="53"/>
    </row>
    <row r="402" ht="15.75" customHeight="1">
      <c r="A402" s="53"/>
      <c r="B402" s="53"/>
      <c r="C402" s="53"/>
      <c r="D402" s="53"/>
      <c r="E402" s="53"/>
      <c r="F402" s="53"/>
      <c r="G402" s="53"/>
    </row>
    <row r="403" ht="15.75" customHeight="1">
      <c r="A403" s="53"/>
      <c r="B403" s="53"/>
      <c r="C403" s="53"/>
      <c r="D403" s="53"/>
      <c r="E403" s="53"/>
      <c r="F403" s="53"/>
      <c r="G403" s="53"/>
    </row>
    <row r="404" ht="15.75" customHeight="1">
      <c r="A404" s="53"/>
      <c r="B404" s="53"/>
      <c r="C404" s="53"/>
      <c r="D404" s="53"/>
      <c r="E404" s="53"/>
      <c r="F404" s="53"/>
      <c r="G404" s="53"/>
    </row>
    <row r="405" ht="15.75" customHeight="1">
      <c r="A405" s="53"/>
      <c r="B405" s="53"/>
      <c r="C405" s="53"/>
      <c r="D405" s="53"/>
      <c r="E405" s="53"/>
      <c r="F405" s="53"/>
      <c r="G405" s="53"/>
    </row>
    <row r="406" ht="15.75" customHeight="1">
      <c r="A406" s="53"/>
      <c r="B406" s="53"/>
      <c r="C406" s="53"/>
      <c r="D406" s="53"/>
      <c r="E406" s="53"/>
      <c r="F406" s="53"/>
      <c r="G406" s="53"/>
    </row>
    <row r="407" ht="15.75" customHeight="1">
      <c r="A407" s="53"/>
      <c r="B407" s="53"/>
      <c r="C407" s="53"/>
      <c r="D407" s="53"/>
      <c r="E407" s="53"/>
      <c r="F407" s="53"/>
      <c r="G407" s="53"/>
    </row>
    <row r="408" ht="15.75" customHeight="1">
      <c r="A408" s="53"/>
      <c r="B408" s="53"/>
      <c r="C408" s="53"/>
      <c r="D408" s="53"/>
      <c r="E408" s="53"/>
      <c r="F408" s="53"/>
      <c r="G408" s="53"/>
    </row>
    <row r="409" ht="15.75" customHeight="1">
      <c r="A409" s="53"/>
      <c r="B409" s="53"/>
      <c r="C409" s="53"/>
      <c r="D409" s="53"/>
      <c r="E409" s="53"/>
      <c r="F409" s="53"/>
      <c r="G409" s="53"/>
    </row>
    <row r="410" ht="15.75" customHeight="1">
      <c r="A410" s="53"/>
      <c r="B410" s="53"/>
      <c r="C410" s="53"/>
      <c r="D410" s="53"/>
      <c r="E410" s="53"/>
      <c r="F410" s="53"/>
      <c r="G410" s="53"/>
    </row>
    <row r="411" ht="15.75" customHeight="1">
      <c r="A411" s="53"/>
      <c r="B411" s="53"/>
      <c r="C411" s="53"/>
      <c r="D411" s="53"/>
      <c r="E411" s="53"/>
      <c r="F411" s="53"/>
      <c r="G411" s="53"/>
    </row>
    <row r="412" ht="15.75" customHeight="1">
      <c r="A412" s="53"/>
      <c r="B412" s="53"/>
      <c r="C412" s="53"/>
      <c r="D412" s="53"/>
      <c r="E412" s="53"/>
      <c r="F412" s="53"/>
      <c r="G412" s="53"/>
    </row>
    <row r="413" ht="15.75" customHeight="1">
      <c r="A413" s="53"/>
      <c r="B413" s="53"/>
      <c r="C413" s="53"/>
      <c r="D413" s="53"/>
      <c r="E413" s="53"/>
      <c r="F413" s="53"/>
      <c r="G413" s="53"/>
    </row>
    <row r="414" ht="15.75" customHeight="1">
      <c r="A414" s="53"/>
      <c r="B414" s="53"/>
      <c r="C414" s="53"/>
      <c r="D414" s="53"/>
      <c r="E414" s="53"/>
      <c r="F414" s="53"/>
      <c r="G414" s="53"/>
    </row>
    <row r="415" ht="15.75" customHeight="1">
      <c r="A415" s="53"/>
      <c r="B415" s="53"/>
      <c r="C415" s="53"/>
      <c r="D415" s="53"/>
      <c r="E415" s="53"/>
      <c r="F415" s="53"/>
      <c r="G415" s="53"/>
    </row>
    <row r="416" ht="15.75" customHeight="1">
      <c r="A416" s="53"/>
      <c r="B416" s="53"/>
      <c r="C416" s="53"/>
      <c r="D416" s="53"/>
      <c r="E416" s="53"/>
      <c r="F416" s="53"/>
      <c r="G416" s="53"/>
    </row>
    <row r="417" ht="15.75" customHeight="1">
      <c r="A417" s="53"/>
      <c r="B417" s="53"/>
      <c r="C417" s="53"/>
      <c r="D417" s="53"/>
      <c r="E417" s="53"/>
      <c r="F417" s="53"/>
      <c r="G417" s="53"/>
    </row>
    <row r="418" ht="15.75" customHeight="1">
      <c r="A418" s="53"/>
      <c r="B418" s="53"/>
      <c r="C418" s="53"/>
      <c r="D418" s="53"/>
      <c r="E418" s="53"/>
      <c r="F418" s="53"/>
      <c r="G418" s="53"/>
    </row>
    <row r="419" ht="15.75" customHeight="1">
      <c r="A419" s="53"/>
      <c r="B419" s="53"/>
      <c r="C419" s="53"/>
      <c r="D419" s="53"/>
      <c r="E419" s="53"/>
      <c r="F419" s="53"/>
      <c r="G419" s="53"/>
    </row>
    <row r="420" ht="15.75" customHeight="1">
      <c r="A420" s="53"/>
      <c r="B420" s="53"/>
      <c r="C420" s="53"/>
      <c r="D420" s="53"/>
      <c r="E420" s="53"/>
      <c r="F420" s="53"/>
      <c r="G420" s="53"/>
    </row>
    <row r="421" ht="15.75" customHeight="1">
      <c r="A421" s="53"/>
      <c r="B421" s="53"/>
      <c r="C421" s="53"/>
      <c r="D421" s="53"/>
      <c r="E421" s="53"/>
      <c r="F421" s="53"/>
      <c r="G421" s="53"/>
    </row>
    <row r="422" ht="15.75" customHeight="1">
      <c r="A422" s="53"/>
      <c r="B422" s="53"/>
      <c r="C422" s="53"/>
      <c r="D422" s="53"/>
      <c r="E422" s="53"/>
      <c r="F422" s="53"/>
      <c r="G422" s="53"/>
    </row>
    <row r="423" ht="15.75" customHeight="1">
      <c r="A423" s="53"/>
      <c r="B423" s="53"/>
      <c r="C423" s="53"/>
      <c r="D423" s="53"/>
      <c r="E423" s="53"/>
      <c r="F423" s="53"/>
      <c r="G423" s="53"/>
    </row>
    <row r="424" ht="15.75" customHeight="1">
      <c r="A424" s="53"/>
      <c r="B424" s="53"/>
      <c r="C424" s="53"/>
      <c r="D424" s="53"/>
      <c r="E424" s="53"/>
      <c r="F424" s="53"/>
      <c r="G424" s="53"/>
    </row>
    <row r="425" ht="15.75" customHeight="1">
      <c r="A425" s="53"/>
      <c r="B425" s="53"/>
      <c r="C425" s="53"/>
      <c r="D425" s="53"/>
      <c r="E425" s="53"/>
      <c r="F425" s="53"/>
      <c r="G425" s="53"/>
    </row>
    <row r="426" ht="15.75" customHeight="1">
      <c r="A426" s="53"/>
      <c r="B426" s="53"/>
      <c r="C426" s="53"/>
      <c r="D426" s="53"/>
      <c r="E426" s="53"/>
      <c r="F426" s="53"/>
      <c r="G426" s="53"/>
    </row>
    <row r="427" ht="15.75" customHeight="1">
      <c r="A427" s="53"/>
      <c r="B427" s="53"/>
      <c r="C427" s="53"/>
      <c r="D427" s="53"/>
      <c r="E427" s="53"/>
      <c r="F427" s="53"/>
      <c r="G427" s="53"/>
    </row>
    <row r="428" ht="15.75" customHeight="1">
      <c r="A428" s="53"/>
      <c r="B428" s="53"/>
      <c r="C428" s="53"/>
      <c r="D428" s="53"/>
      <c r="E428" s="53"/>
      <c r="F428" s="53"/>
      <c r="G428" s="53"/>
    </row>
    <row r="429" ht="15.75" customHeight="1">
      <c r="A429" s="53"/>
      <c r="B429" s="53"/>
      <c r="C429" s="53"/>
      <c r="D429" s="53"/>
      <c r="E429" s="53"/>
      <c r="F429" s="53"/>
      <c r="G429" s="53"/>
    </row>
    <row r="430" ht="15.75" customHeight="1">
      <c r="A430" s="53"/>
      <c r="B430" s="53"/>
      <c r="C430" s="53"/>
      <c r="D430" s="53"/>
      <c r="E430" s="53"/>
      <c r="F430" s="53"/>
      <c r="G430" s="53"/>
    </row>
    <row r="431" ht="15.75" customHeight="1">
      <c r="A431" s="53"/>
      <c r="B431" s="53"/>
      <c r="C431" s="53"/>
      <c r="D431" s="53"/>
      <c r="E431" s="53"/>
      <c r="F431" s="53"/>
      <c r="G431" s="53"/>
    </row>
    <row r="432" ht="15.75" customHeight="1">
      <c r="A432" s="53"/>
      <c r="B432" s="53"/>
      <c r="C432" s="53"/>
      <c r="D432" s="53"/>
      <c r="E432" s="53"/>
      <c r="F432" s="53"/>
      <c r="G432" s="53"/>
    </row>
    <row r="433" ht="15.75" customHeight="1">
      <c r="A433" s="53"/>
      <c r="B433" s="53"/>
      <c r="C433" s="53"/>
      <c r="D433" s="53"/>
      <c r="E433" s="53"/>
      <c r="F433" s="53"/>
      <c r="G433" s="53"/>
    </row>
    <row r="434" ht="15.75" customHeight="1">
      <c r="A434" s="53"/>
      <c r="B434" s="53"/>
      <c r="C434" s="53"/>
      <c r="D434" s="53"/>
      <c r="E434" s="53"/>
      <c r="F434" s="53"/>
      <c r="G434" s="53"/>
    </row>
    <row r="435" ht="15.75" customHeight="1">
      <c r="A435" s="53"/>
      <c r="B435" s="53"/>
      <c r="C435" s="53"/>
      <c r="D435" s="53"/>
      <c r="E435" s="53"/>
      <c r="F435" s="53"/>
      <c r="G435" s="53"/>
    </row>
    <row r="436" ht="15.75" customHeight="1">
      <c r="A436" s="53"/>
      <c r="B436" s="53"/>
      <c r="C436" s="53"/>
      <c r="D436" s="53"/>
      <c r="E436" s="53"/>
      <c r="F436" s="53"/>
      <c r="G436" s="53"/>
    </row>
    <row r="437" ht="15.75" customHeight="1">
      <c r="A437" s="53"/>
      <c r="B437" s="53"/>
      <c r="C437" s="53"/>
      <c r="D437" s="53"/>
      <c r="E437" s="53"/>
      <c r="F437" s="53"/>
      <c r="G437" s="53"/>
    </row>
    <row r="438" ht="15.75" customHeight="1">
      <c r="A438" s="53"/>
      <c r="B438" s="53"/>
      <c r="C438" s="53"/>
      <c r="D438" s="53"/>
      <c r="E438" s="53"/>
      <c r="F438" s="53"/>
      <c r="G438" s="53"/>
    </row>
    <row r="439" ht="15.75" customHeight="1">
      <c r="A439" s="53"/>
      <c r="B439" s="53"/>
      <c r="C439" s="53"/>
      <c r="D439" s="53"/>
      <c r="E439" s="53"/>
      <c r="F439" s="53"/>
      <c r="G439" s="53"/>
    </row>
    <row r="440" ht="15.75" customHeight="1">
      <c r="A440" s="53"/>
      <c r="B440" s="53"/>
      <c r="C440" s="53"/>
      <c r="D440" s="53"/>
      <c r="E440" s="53"/>
      <c r="F440" s="53"/>
      <c r="G440" s="53"/>
    </row>
    <row r="441" ht="15.75" customHeight="1">
      <c r="A441" s="53"/>
      <c r="B441" s="53"/>
      <c r="C441" s="53"/>
      <c r="D441" s="53"/>
      <c r="E441" s="53"/>
      <c r="F441" s="53"/>
      <c r="G441" s="53"/>
    </row>
    <row r="442" ht="15.75" customHeight="1">
      <c r="A442" s="53"/>
      <c r="B442" s="53"/>
      <c r="C442" s="53"/>
      <c r="D442" s="53"/>
      <c r="E442" s="53"/>
      <c r="F442" s="53"/>
      <c r="G442" s="53"/>
    </row>
    <row r="443" ht="15.75" customHeight="1">
      <c r="A443" s="53"/>
      <c r="B443" s="53"/>
      <c r="C443" s="53"/>
      <c r="D443" s="53"/>
      <c r="E443" s="53"/>
      <c r="F443" s="53"/>
      <c r="G443" s="53"/>
    </row>
    <row r="444" ht="15.75" customHeight="1">
      <c r="A444" s="53"/>
      <c r="B444" s="53"/>
      <c r="C444" s="53"/>
      <c r="D444" s="53"/>
      <c r="E444" s="53"/>
      <c r="F444" s="53"/>
      <c r="G444" s="53"/>
    </row>
    <row r="445" ht="15.75" customHeight="1">
      <c r="A445" s="53"/>
      <c r="B445" s="53"/>
      <c r="C445" s="53"/>
      <c r="D445" s="53"/>
      <c r="E445" s="53"/>
      <c r="F445" s="53"/>
      <c r="G445" s="53"/>
    </row>
    <row r="446" ht="15.75" customHeight="1">
      <c r="A446" s="53"/>
      <c r="B446" s="53"/>
      <c r="C446" s="53"/>
      <c r="D446" s="53"/>
      <c r="E446" s="53"/>
      <c r="F446" s="53"/>
      <c r="G446" s="53"/>
    </row>
    <row r="447" ht="15.75" customHeight="1">
      <c r="A447" s="53"/>
      <c r="B447" s="53"/>
      <c r="C447" s="53"/>
      <c r="D447" s="53"/>
      <c r="E447" s="53"/>
      <c r="F447" s="53"/>
      <c r="G447" s="53"/>
    </row>
    <row r="448" ht="15.75" customHeight="1">
      <c r="A448" s="53"/>
      <c r="B448" s="53"/>
      <c r="C448" s="53"/>
      <c r="D448" s="53"/>
      <c r="E448" s="53"/>
      <c r="F448" s="53"/>
      <c r="G448" s="53"/>
    </row>
    <row r="449" ht="15.75" customHeight="1">
      <c r="A449" s="53"/>
      <c r="B449" s="53"/>
      <c r="C449" s="53"/>
      <c r="D449" s="53"/>
      <c r="E449" s="53"/>
      <c r="F449" s="53"/>
      <c r="G449" s="53"/>
    </row>
    <row r="450" ht="15.75" customHeight="1">
      <c r="A450" s="53"/>
      <c r="B450" s="53"/>
      <c r="C450" s="53"/>
      <c r="D450" s="53"/>
      <c r="E450" s="53"/>
      <c r="F450" s="53"/>
      <c r="G450" s="53"/>
    </row>
    <row r="451" ht="15.75" customHeight="1">
      <c r="A451" s="53"/>
      <c r="B451" s="53"/>
      <c r="C451" s="53"/>
      <c r="D451" s="53"/>
      <c r="E451" s="53"/>
      <c r="F451" s="53"/>
      <c r="G451" s="53"/>
    </row>
    <row r="452" ht="15.75" customHeight="1">
      <c r="A452" s="53"/>
      <c r="B452" s="53"/>
      <c r="C452" s="53"/>
      <c r="D452" s="53"/>
      <c r="E452" s="53"/>
      <c r="F452" s="53"/>
      <c r="G452" s="53"/>
    </row>
    <row r="453" ht="15.75" customHeight="1">
      <c r="A453" s="53"/>
      <c r="B453" s="53"/>
      <c r="C453" s="53"/>
      <c r="D453" s="53"/>
      <c r="E453" s="53"/>
      <c r="F453" s="53"/>
      <c r="G453" s="53"/>
    </row>
    <row r="454" ht="15.75" customHeight="1">
      <c r="A454" s="53"/>
      <c r="B454" s="53"/>
      <c r="C454" s="53"/>
      <c r="D454" s="53"/>
      <c r="E454" s="53"/>
      <c r="F454" s="53"/>
      <c r="G454" s="53"/>
    </row>
    <row r="455" ht="15.75" customHeight="1">
      <c r="A455" s="53"/>
      <c r="B455" s="53"/>
      <c r="C455" s="53"/>
      <c r="D455" s="53"/>
      <c r="E455" s="53"/>
      <c r="F455" s="53"/>
      <c r="G455" s="53"/>
    </row>
    <row r="456" ht="15.75" customHeight="1">
      <c r="A456" s="53"/>
      <c r="B456" s="53"/>
      <c r="C456" s="53"/>
      <c r="D456" s="53"/>
      <c r="E456" s="53"/>
      <c r="F456" s="53"/>
      <c r="G456" s="53"/>
    </row>
    <row r="457" ht="15.75" customHeight="1">
      <c r="A457" s="53"/>
      <c r="B457" s="53"/>
      <c r="C457" s="53"/>
      <c r="D457" s="53"/>
      <c r="E457" s="53"/>
      <c r="F457" s="53"/>
      <c r="G457" s="53"/>
    </row>
    <row r="458" ht="15.75" customHeight="1">
      <c r="A458" s="53"/>
      <c r="B458" s="53"/>
      <c r="C458" s="53"/>
      <c r="D458" s="53"/>
      <c r="E458" s="53"/>
      <c r="F458" s="53"/>
      <c r="G458" s="53"/>
    </row>
    <row r="459" ht="15.75" customHeight="1">
      <c r="A459" s="53"/>
      <c r="B459" s="53"/>
      <c r="C459" s="53"/>
      <c r="D459" s="53"/>
      <c r="E459" s="53"/>
      <c r="F459" s="53"/>
      <c r="G459" s="53"/>
    </row>
    <row r="460" ht="15.75" customHeight="1">
      <c r="A460" s="53"/>
      <c r="B460" s="53"/>
      <c r="C460" s="53"/>
      <c r="D460" s="53"/>
      <c r="E460" s="53"/>
      <c r="F460" s="53"/>
      <c r="G460" s="53"/>
    </row>
    <row r="461" ht="15.75" customHeight="1">
      <c r="A461" s="53"/>
      <c r="B461" s="53"/>
      <c r="C461" s="53"/>
      <c r="D461" s="53"/>
      <c r="E461" s="53"/>
      <c r="F461" s="53"/>
      <c r="G461" s="53"/>
    </row>
    <row r="462" ht="15.75" customHeight="1">
      <c r="A462" s="53"/>
      <c r="B462" s="53"/>
      <c r="C462" s="53"/>
      <c r="D462" s="53"/>
      <c r="E462" s="53"/>
      <c r="F462" s="53"/>
      <c r="G462" s="53"/>
    </row>
    <row r="463" ht="15.75" customHeight="1">
      <c r="A463" s="53"/>
      <c r="B463" s="53"/>
      <c r="C463" s="53"/>
      <c r="D463" s="53"/>
      <c r="E463" s="53"/>
      <c r="F463" s="53"/>
      <c r="G463" s="53"/>
    </row>
    <row r="464" ht="15.75" customHeight="1">
      <c r="A464" s="53"/>
      <c r="B464" s="53"/>
      <c r="C464" s="53"/>
      <c r="D464" s="53"/>
      <c r="E464" s="53"/>
      <c r="F464" s="53"/>
      <c r="G464" s="53"/>
    </row>
    <row r="465" ht="15.75" customHeight="1">
      <c r="A465" s="53"/>
      <c r="B465" s="53"/>
      <c r="C465" s="53"/>
      <c r="D465" s="53"/>
      <c r="E465" s="53"/>
      <c r="F465" s="53"/>
      <c r="G465" s="53"/>
    </row>
    <row r="466" ht="15.75" customHeight="1">
      <c r="A466" s="53"/>
      <c r="B466" s="53"/>
      <c r="C466" s="53"/>
      <c r="D466" s="53"/>
      <c r="E466" s="53"/>
      <c r="F466" s="53"/>
      <c r="G466" s="53"/>
    </row>
    <row r="467" ht="15.75" customHeight="1">
      <c r="A467" s="53"/>
      <c r="B467" s="53"/>
      <c r="C467" s="53"/>
      <c r="D467" s="53"/>
      <c r="E467" s="53"/>
      <c r="F467" s="53"/>
      <c r="G467" s="53"/>
    </row>
    <row r="468" ht="15.75" customHeight="1">
      <c r="A468" s="53"/>
      <c r="B468" s="53"/>
      <c r="C468" s="53"/>
      <c r="D468" s="53"/>
      <c r="E468" s="53"/>
      <c r="F468" s="53"/>
      <c r="G468" s="53"/>
    </row>
    <row r="469" ht="15.75" customHeight="1">
      <c r="A469" s="53"/>
      <c r="B469" s="53"/>
      <c r="C469" s="53"/>
      <c r="D469" s="53"/>
      <c r="E469" s="53"/>
      <c r="F469" s="53"/>
      <c r="G469" s="53"/>
    </row>
    <row r="470" ht="15.75" customHeight="1">
      <c r="A470" s="53"/>
      <c r="B470" s="53"/>
      <c r="C470" s="53"/>
      <c r="D470" s="53"/>
      <c r="E470" s="53"/>
      <c r="F470" s="53"/>
      <c r="G470" s="53"/>
    </row>
    <row r="471" ht="15.75" customHeight="1">
      <c r="A471" s="53"/>
      <c r="B471" s="53"/>
      <c r="C471" s="53"/>
      <c r="D471" s="53"/>
      <c r="E471" s="53"/>
      <c r="F471" s="53"/>
      <c r="G471" s="53"/>
    </row>
    <row r="472" ht="15.75" customHeight="1">
      <c r="A472" s="53"/>
      <c r="B472" s="53"/>
      <c r="C472" s="53"/>
      <c r="D472" s="53"/>
      <c r="E472" s="53"/>
      <c r="F472" s="53"/>
      <c r="G472" s="53"/>
    </row>
    <row r="473" ht="15.75" customHeight="1">
      <c r="A473" s="53"/>
      <c r="B473" s="53"/>
      <c r="C473" s="53"/>
      <c r="D473" s="53"/>
      <c r="E473" s="53"/>
      <c r="F473" s="53"/>
      <c r="G473" s="53"/>
    </row>
    <row r="474" ht="15.75" customHeight="1">
      <c r="A474" s="53"/>
      <c r="B474" s="53"/>
      <c r="C474" s="53"/>
      <c r="D474" s="53"/>
      <c r="E474" s="53"/>
      <c r="F474" s="53"/>
      <c r="G474" s="53"/>
    </row>
    <row r="475" ht="15.75" customHeight="1">
      <c r="A475" s="53"/>
      <c r="B475" s="53"/>
      <c r="C475" s="53"/>
      <c r="D475" s="53"/>
      <c r="E475" s="53"/>
      <c r="F475" s="53"/>
      <c r="G475" s="53"/>
    </row>
    <row r="476" ht="15.75" customHeight="1">
      <c r="A476" s="53"/>
      <c r="B476" s="53"/>
      <c r="C476" s="53"/>
      <c r="D476" s="53"/>
      <c r="E476" s="53"/>
      <c r="F476" s="53"/>
      <c r="G476" s="53"/>
    </row>
    <row r="477" ht="15.75" customHeight="1">
      <c r="A477" s="53"/>
      <c r="B477" s="53"/>
      <c r="C477" s="53"/>
      <c r="D477" s="53"/>
      <c r="E477" s="53"/>
      <c r="F477" s="53"/>
      <c r="G477" s="53"/>
    </row>
    <row r="478" ht="15.75" customHeight="1">
      <c r="A478" s="53"/>
      <c r="B478" s="53"/>
      <c r="C478" s="53"/>
      <c r="D478" s="53"/>
      <c r="E478" s="53"/>
      <c r="F478" s="53"/>
      <c r="G478" s="53"/>
    </row>
    <row r="479" ht="15.75" customHeight="1">
      <c r="A479" s="53"/>
      <c r="B479" s="53"/>
      <c r="C479" s="53"/>
      <c r="D479" s="53"/>
      <c r="E479" s="53"/>
      <c r="F479" s="53"/>
      <c r="G479" s="53"/>
    </row>
    <row r="480" ht="15.75" customHeight="1">
      <c r="A480" s="53"/>
      <c r="B480" s="53"/>
      <c r="C480" s="53"/>
      <c r="D480" s="53"/>
      <c r="E480" s="53"/>
      <c r="F480" s="53"/>
      <c r="G480" s="53"/>
    </row>
    <row r="481" ht="15.75" customHeight="1">
      <c r="A481" s="53"/>
      <c r="B481" s="53"/>
      <c r="C481" s="53"/>
      <c r="D481" s="53"/>
      <c r="E481" s="53"/>
      <c r="F481" s="53"/>
      <c r="G481" s="53"/>
    </row>
    <row r="482" ht="15.75" customHeight="1">
      <c r="A482" s="53"/>
      <c r="B482" s="53"/>
      <c r="C482" s="53"/>
      <c r="D482" s="53"/>
      <c r="E482" s="53"/>
      <c r="F482" s="53"/>
      <c r="G482" s="53"/>
    </row>
    <row r="483" ht="15.75" customHeight="1">
      <c r="A483" s="53"/>
      <c r="B483" s="53"/>
      <c r="C483" s="53"/>
      <c r="D483" s="53"/>
      <c r="E483" s="53"/>
      <c r="F483" s="53"/>
      <c r="G483" s="53"/>
    </row>
    <row r="484" ht="15.75" customHeight="1">
      <c r="A484" s="53"/>
      <c r="B484" s="53"/>
      <c r="C484" s="53"/>
      <c r="D484" s="53"/>
      <c r="E484" s="53"/>
      <c r="F484" s="53"/>
      <c r="G484" s="53"/>
    </row>
    <row r="485" ht="15.75" customHeight="1">
      <c r="A485" s="53"/>
      <c r="B485" s="53"/>
      <c r="C485" s="53"/>
      <c r="D485" s="53"/>
      <c r="E485" s="53"/>
      <c r="F485" s="53"/>
      <c r="G485" s="53"/>
    </row>
    <row r="486" ht="15.75" customHeight="1">
      <c r="A486" s="53"/>
      <c r="B486" s="53"/>
      <c r="C486" s="53"/>
      <c r="D486" s="53"/>
      <c r="E486" s="53"/>
      <c r="F486" s="53"/>
      <c r="G486" s="53"/>
    </row>
    <row r="487" ht="15.75" customHeight="1">
      <c r="A487" s="53"/>
      <c r="B487" s="53"/>
      <c r="C487" s="53"/>
      <c r="D487" s="53"/>
      <c r="E487" s="53"/>
      <c r="F487" s="53"/>
      <c r="G487" s="53"/>
    </row>
    <row r="488" ht="15.75" customHeight="1">
      <c r="A488" s="53"/>
      <c r="B488" s="53"/>
      <c r="C488" s="53"/>
      <c r="D488" s="53"/>
      <c r="E488" s="53"/>
      <c r="F488" s="53"/>
      <c r="G488" s="53"/>
    </row>
    <row r="489" ht="15.75" customHeight="1">
      <c r="A489" s="53"/>
      <c r="B489" s="53"/>
      <c r="C489" s="53"/>
      <c r="D489" s="53"/>
      <c r="E489" s="53"/>
      <c r="F489" s="53"/>
      <c r="G489" s="53"/>
    </row>
    <row r="490" ht="15.75" customHeight="1">
      <c r="A490" s="53"/>
      <c r="B490" s="53"/>
      <c r="C490" s="53"/>
      <c r="D490" s="53"/>
      <c r="E490" s="53"/>
      <c r="F490" s="53"/>
      <c r="G490" s="53"/>
    </row>
    <row r="491" ht="15.75" customHeight="1">
      <c r="A491" s="53"/>
      <c r="B491" s="53"/>
      <c r="C491" s="53"/>
      <c r="D491" s="53"/>
      <c r="E491" s="53"/>
      <c r="F491" s="53"/>
      <c r="G491" s="53"/>
    </row>
    <row r="492" ht="15.75" customHeight="1">
      <c r="A492" s="53"/>
      <c r="B492" s="53"/>
      <c r="C492" s="53"/>
      <c r="D492" s="53"/>
      <c r="E492" s="53"/>
      <c r="F492" s="53"/>
      <c r="G492" s="53"/>
    </row>
    <row r="493" ht="15.75" customHeight="1">
      <c r="A493" s="53"/>
      <c r="B493" s="53"/>
      <c r="C493" s="53"/>
      <c r="D493" s="53"/>
      <c r="E493" s="53"/>
      <c r="F493" s="53"/>
      <c r="G493" s="53"/>
    </row>
    <row r="494" ht="15.75" customHeight="1">
      <c r="A494" s="53"/>
      <c r="B494" s="53"/>
      <c r="C494" s="53"/>
      <c r="D494" s="53"/>
      <c r="E494" s="53"/>
      <c r="F494" s="53"/>
      <c r="G494" s="53"/>
    </row>
    <row r="495" ht="15.75" customHeight="1">
      <c r="A495" s="53"/>
      <c r="B495" s="53"/>
      <c r="C495" s="53"/>
      <c r="D495" s="53"/>
      <c r="E495" s="53"/>
      <c r="F495" s="53"/>
      <c r="G495" s="53"/>
    </row>
    <row r="496" ht="15.75" customHeight="1">
      <c r="A496" s="53"/>
      <c r="B496" s="53"/>
      <c r="C496" s="53"/>
      <c r="D496" s="53"/>
      <c r="E496" s="53"/>
      <c r="F496" s="53"/>
      <c r="G496" s="53"/>
    </row>
    <row r="497" ht="15.75" customHeight="1">
      <c r="A497" s="53"/>
      <c r="B497" s="53"/>
      <c r="C497" s="53"/>
      <c r="D497" s="53"/>
      <c r="E497" s="53"/>
      <c r="F497" s="53"/>
      <c r="G497" s="53"/>
    </row>
    <row r="498" ht="15.75" customHeight="1">
      <c r="A498" s="53"/>
      <c r="B498" s="53"/>
      <c r="C498" s="53"/>
      <c r="D498" s="53"/>
      <c r="E498" s="53"/>
      <c r="F498" s="53"/>
      <c r="G498" s="53"/>
    </row>
    <row r="499" ht="15.75" customHeight="1">
      <c r="A499" s="53"/>
      <c r="B499" s="53"/>
      <c r="C499" s="53"/>
      <c r="D499" s="53"/>
      <c r="E499" s="53"/>
      <c r="F499" s="53"/>
      <c r="G499" s="53"/>
    </row>
    <row r="500" ht="15.75" customHeight="1">
      <c r="A500" s="53"/>
      <c r="B500" s="53"/>
      <c r="C500" s="53"/>
      <c r="D500" s="53"/>
      <c r="E500" s="53"/>
      <c r="F500" s="53"/>
      <c r="G500" s="53"/>
    </row>
    <row r="501" ht="15.75" customHeight="1">
      <c r="A501" s="53"/>
      <c r="B501" s="53"/>
      <c r="C501" s="53"/>
      <c r="D501" s="53"/>
      <c r="E501" s="53"/>
      <c r="F501" s="53"/>
      <c r="G501" s="53"/>
    </row>
    <row r="502" ht="15.75" customHeight="1">
      <c r="A502" s="53"/>
      <c r="B502" s="53"/>
      <c r="C502" s="53"/>
      <c r="D502" s="53"/>
      <c r="E502" s="53"/>
      <c r="F502" s="53"/>
      <c r="G502" s="53"/>
    </row>
    <row r="503" ht="15.75" customHeight="1">
      <c r="A503" s="53"/>
      <c r="B503" s="53"/>
      <c r="C503" s="53"/>
      <c r="D503" s="53"/>
      <c r="E503" s="53"/>
      <c r="F503" s="53"/>
      <c r="G503" s="53"/>
    </row>
    <row r="504" ht="15.75" customHeight="1">
      <c r="A504" s="53"/>
      <c r="B504" s="53"/>
      <c r="C504" s="53"/>
      <c r="D504" s="53"/>
      <c r="E504" s="53"/>
      <c r="F504" s="53"/>
      <c r="G504" s="53"/>
    </row>
    <row r="505" ht="15.75" customHeight="1">
      <c r="A505" s="53"/>
      <c r="B505" s="53"/>
      <c r="C505" s="53"/>
      <c r="D505" s="53"/>
      <c r="E505" s="53"/>
      <c r="F505" s="53"/>
      <c r="G505" s="53"/>
    </row>
    <row r="506" ht="15.75" customHeight="1">
      <c r="A506" s="53"/>
      <c r="B506" s="53"/>
      <c r="C506" s="53"/>
      <c r="D506" s="53"/>
      <c r="E506" s="53"/>
      <c r="F506" s="53"/>
      <c r="G506" s="53"/>
    </row>
    <row r="507" ht="15.75" customHeight="1">
      <c r="A507" s="53"/>
      <c r="B507" s="53"/>
      <c r="C507" s="53"/>
      <c r="D507" s="53"/>
      <c r="E507" s="53"/>
      <c r="F507" s="53"/>
      <c r="G507" s="53"/>
    </row>
    <row r="508" ht="15.75" customHeight="1">
      <c r="A508" s="53"/>
      <c r="B508" s="53"/>
      <c r="C508" s="53"/>
      <c r="D508" s="53"/>
      <c r="E508" s="53"/>
      <c r="F508" s="53"/>
      <c r="G508" s="53"/>
    </row>
    <row r="509" ht="15.75" customHeight="1">
      <c r="A509" s="53"/>
      <c r="B509" s="53"/>
      <c r="C509" s="53"/>
      <c r="D509" s="53"/>
      <c r="E509" s="53"/>
      <c r="F509" s="53"/>
      <c r="G509" s="53"/>
    </row>
    <row r="510" ht="15.75" customHeight="1">
      <c r="A510" s="53"/>
      <c r="B510" s="53"/>
      <c r="C510" s="53"/>
      <c r="D510" s="53"/>
      <c r="E510" s="53"/>
      <c r="F510" s="53"/>
      <c r="G510" s="53"/>
    </row>
    <row r="511" ht="15.75" customHeight="1">
      <c r="A511" s="53"/>
      <c r="B511" s="53"/>
      <c r="C511" s="53"/>
      <c r="D511" s="53"/>
      <c r="E511" s="53"/>
      <c r="F511" s="53"/>
      <c r="G511" s="53"/>
    </row>
    <row r="512" ht="15.75" customHeight="1">
      <c r="A512" s="53"/>
      <c r="B512" s="53"/>
      <c r="C512" s="53"/>
      <c r="D512" s="53"/>
      <c r="E512" s="53"/>
      <c r="F512" s="53"/>
      <c r="G512" s="53"/>
    </row>
    <row r="513" ht="15.75" customHeight="1">
      <c r="A513" s="53"/>
      <c r="B513" s="53"/>
      <c r="C513" s="53"/>
      <c r="D513" s="53"/>
      <c r="E513" s="53"/>
      <c r="F513" s="53"/>
      <c r="G513" s="53"/>
    </row>
    <row r="514" ht="15.75" customHeight="1">
      <c r="A514" s="53"/>
      <c r="B514" s="53"/>
      <c r="C514" s="53"/>
      <c r="D514" s="53"/>
      <c r="E514" s="53"/>
      <c r="F514" s="53"/>
      <c r="G514" s="53"/>
    </row>
    <row r="515" ht="15.75" customHeight="1">
      <c r="A515" s="53"/>
      <c r="B515" s="53"/>
      <c r="C515" s="53"/>
      <c r="D515" s="53"/>
      <c r="E515" s="53"/>
      <c r="F515" s="53"/>
      <c r="G515" s="53"/>
    </row>
    <row r="516" ht="15.75" customHeight="1">
      <c r="A516" s="53"/>
      <c r="B516" s="53"/>
      <c r="C516" s="53"/>
      <c r="D516" s="53"/>
      <c r="E516" s="53"/>
      <c r="F516" s="53"/>
      <c r="G516" s="53"/>
    </row>
    <row r="517" ht="15.75" customHeight="1">
      <c r="A517" s="53"/>
      <c r="B517" s="53"/>
      <c r="C517" s="53"/>
      <c r="D517" s="53"/>
      <c r="E517" s="53"/>
      <c r="F517" s="53"/>
      <c r="G517" s="53"/>
    </row>
    <row r="518" ht="15.75" customHeight="1">
      <c r="A518" s="53"/>
      <c r="B518" s="53"/>
      <c r="C518" s="53"/>
      <c r="D518" s="53"/>
      <c r="E518" s="53"/>
      <c r="F518" s="53"/>
      <c r="G518" s="53"/>
    </row>
    <row r="519" ht="15.75" customHeight="1">
      <c r="A519" s="53"/>
      <c r="B519" s="53"/>
      <c r="C519" s="53"/>
      <c r="D519" s="53"/>
      <c r="E519" s="53"/>
      <c r="F519" s="53"/>
      <c r="G519" s="53"/>
    </row>
    <row r="520" ht="15.75" customHeight="1">
      <c r="A520" s="53"/>
      <c r="B520" s="53"/>
      <c r="C520" s="53"/>
      <c r="D520" s="53"/>
      <c r="E520" s="53"/>
      <c r="F520" s="53"/>
      <c r="G520" s="53"/>
    </row>
    <row r="521" ht="15.75" customHeight="1">
      <c r="A521" s="53"/>
      <c r="B521" s="53"/>
      <c r="C521" s="53"/>
      <c r="D521" s="53"/>
      <c r="E521" s="53"/>
      <c r="F521" s="53"/>
      <c r="G521" s="53"/>
    </row>
    <row r="522" ht="15.75" customHeight="1">
      <c r="A522" s="53"/>
      <c r="B522" s="53"/>
      <c r="C522" s="53"/>
      <c r="D522" s="53"/>
      <c r="E522" s="53"/>
      <c r="F522" s="53"/>
      <c r="G522" s="53"/>
    </row>
    <row r="523" ht="15.75" customHeight="1">
      <c r="A523" s="53"/>
      <c r="B523" s="53"/>
      <c r="C523" s="53"/>
      <c r="D523" s="53"/>
      <c r="E523" s="53"/>
      <c r="F523" s="53"/>
      <c r="G523" s="53"/>
    </row>
    <row r="524" ht="15.75" customHeight="1">
      <c r="A524" s="53"/>
      <c r="B524" s="53"/>
      <c r="C524" s="53"/>
      <c r="D524" s="53"/>
      <c r="E524" s="53"/>
      <c r="F524" s="53"/>
      <c r="G524" s="53"/>
    </row>
    <row r="525" ht="15.75" customHeight="1">
      <c r="A525" s="53"/>
      <c r="B525" s="53"/>
      <c r="C525" s="53"/>
      <c r="D525" s="53"/>
      <c r="E525" s="53"/>
      <c r="F525" s="53"/>
      <c r="G525" s="53"/>
    </row>
    <row r="526" ht="15.75" customHeight="1">
      <c r="A526" s="53"/>
      <c r="B526" s="53"/>
      <c r="C526" s="53"/>
      <c r="D526" s="53"/>
      <c r="E526" s="53"/>
      <c r="F526" s="53"/>
      <c r="G526" s="53"/>
    </row>
    <row r="527" ht="15.75" customHeight="1">
      <c r="A527" s="53"/>
      <c r="B527" s="53"/>
      <c r="C527" s="53"/>
      <c r="D527" s="53"/>
      <c r="E527" s="53"/>
      <c r="F527" s="53"/>
      <c r="G527" s="53"/>
    </row>
    <row r="528" ht="15.75" customHeight="1">
      <c r="A528" s="53"/>
      <c r="B528" s="53"/>
      <c r="C528" s="53"/>
      <c r="D528" s="53"/>
      <c r="E528" s="53"/>
      <c r="F528" s="53"/>
      <c r="G528" s="53"/>
    </row>
    <row r="529" ht="15.75" customHeight="1">
      <c r="A529" s="53"/>
      <c r="B529" s="53"/>
      <c r="C529" s="53"/>
      <c r="D529" s="53"/>
      <c r="E529" s="53"/>
      <c r="F529" s="53"/>
      <c r="G529" s="53"/>
    </row>
    <row r="530" ht="15.75" customHeight="1">
      <c r="A530" s="53"/>
      <c r="B530" s="53"/>
      <c r="C530" s="53"/>
      <c r="D530" s="53"/>
      <c r="E530" s="53"/>
      <c r="F530" s="53"/>
      <c r="G530" s="53"/>
    </row>
    <row r="531" ht="15.75" customHeight="1">
      <c r="A531" s="53"/>
      <c r="B531" s="53"/>
      <c r="C531" s="53"/>
      <c r="D531" s="53"/>
      <c r="E531" s="53"/>
      <c r="F531" s="53"/>
      <c r="G531" s="53"/>
    </row>
    <row r="532" ht="15.75" customHeight="1">
      <c r="A532" s="53"/>
      <c r="B532" s="53"/>
      <c r="C532" s="53"/>
      <c r="D532" s="53"/>
      <c r="E532" s="53"/>
      <c r="F532" s="53"/>
      <c r="G532" s="53"/>
    </row>
    <row r="533" ht="15.75" customHeight="1">
      <c r="A533" s="53"/>
      <c r="B533" s="53"/>
      <c r="C533" s="53"/>
      <c r="D533" s="53"/>
      <c r="E533" s="53"/>
      <c r="F533" s="53"/>
      <c r="G533" s="53"/>
    </row>
    <row r="534" ht="15.75" customHeight="1">
      <c r="A534" s="53"/>
      <c r="B534" s="53"/>
      <c r="C534" s="53"/>
      <c r="D534" s="53"/>
      <c r="E534" s="53"/>
      <c r="F534" s="53"/>
      <c r="G534" s="53"/>
    </row>
    <row r="535" ht="15.75" customHeight="1">
      <c r="A535" s="53"/>
      <c r="B535" s="53"/>
      <c r="C535" s="53"/>
      <c r="D535" s="53"/>
      <c r="E535" s="53"/>
      <c r="F535" s="53"/>
      <c r="G535" s="53"/>
    </row>
    <row r="536" ht="15.75" customHeight="1">
      <c r="A536" s="53"/>
      <c r="B536" s="53"/>
      <c r="C536" s="53"/>
      <c r="D536" s="53"/>
      <c r="E536" s="53"/>
      <c r="F536" s="53"/>
      <c r="G536" s="53"/>
    </row>
    <row r="537" ht="15.75" customHeight="1">
      <c r="A537" s="53"/>
      <c r="B537" s="53"/>
      <c r="C537" s="53"/>
      <c r="D537" s="53"/>
      <c r="E537" s="53"/>
      <c r="F537" s="53"/>
      <c r="G537" s="53"/>
    </row>
    <row r="538" ht="15.75" customHeight="1">
      <c r="A538" s="53"/>
      <c r="B538" s="53"/>
      <c r="C538" s="53"/>
      <c r="D538" s="53"/>
      <c r="E538" s="53"/>
      <c r="F538" s="53"/>
      <c r="G538" s="53"/>
    </row>
    <row r="539" ht="15.75" customHeight="1">
      <c r="A539" s="53"/>
      <c r="B539" s="53"/>
      <c r="C539" s="53"/>
      <c r="D539" s="53"/>
      <c r="E539" s="53"/>
      <c r="F539" s="53"/>
      <c r="G539" s="53"/>
    </row>
    <row r="540" ht="15.75" customHeight="1">
      <c r="A540" s="53"/>
      <c r="B540" s="53"/>
      <c r="C540" s="53"/>
      <c r="D540" s="53"/>
      <c r="E540" s="53"/>
      <c r="F540" s="53"/>
      <c r="G540" s="53"/>
    </row>
    <row r="541" ht="15.75" customHeight="1">
      <c r="A541" s="53"/>
      <c r="B541" s="53"/>
      <c r="C541" s="53"/>
      <c r="D541" s="53"/>
      <c r="E541" s="53"/>
      <c r="F541" s="53"/>
      <c r="G541" s="53"/>
    </row>
    <row r="542" ht="15.75" customHeight="1">
      <c r="A542" s="53"/>
      <c r="B542" s="53"/>
      <c r="C542" s="53"/>
      <c r="D542" s="53"/>
      <c r="E542" s="53"/>
      <c r="F542" s="53"/>
      <c r="G542" s="53"/>
    </row>
    <row r="543" ht="15.75" customHeight="1">
      <c r="A543" s="53"/>
      <c r="B543" s="53"/>
      <c r="C543" s="53"/>
      <c r="D543" s="53"/>
      <c r="E543" s="53"/>
      <c r="F543" s="53"/>
      <c r="G543" s="53"/>
    </row>
    <row r="544" ht="15.75" customHeight="1">
      <c r="A544" s="53"/>
      <c r="B544" s="53"/>
      <c r="C544" s="53"/>
      <c r="D544" s="53"/>
      <c r="E544" s="53"/>
      <c r="F544" s="53"/>
      <c r="G544" s="53"/>
    </row>
    <row r="545" ht="15.75" customHeight="1">
      <c r="A545" s="53"/>
      <c r="B545" s="53"/>
      <c r="C545" s="53"/>
      <c r="D545" s="53"/>
      <c r="E545" s="53"/>
      <c r="F545" s="53"/>
      <c r="G545" s="53"/>
    </row>
    <row r="546" ht="15.75" customHeight="1">
      <c r="A546" s="53"/>
      <c r="B546" s="53"/>
      <c r="C546" s="53"/>
      <c r="D546" s="53"/>
      <c r="E546" s="53"/>
      <c r="F546" s="53"/>
      <c r="G546" s="53"/>
    </row>
    <row r="547" ht="15.75" customHeight="1">
      <c r="A547" s="53"/>
      <c r="B547" s="53"/>
      <c r="C547" s="53"/>
      <c r="D547" s="53"/>
      <c r="E547" s="53"/>
      <c r="F547" s="53"/>
      <c r="G547" s="53"/>
    </row>
    <row r="548" ht="15.75" customHeight="1">
      <c r="A548" s="53"/>
      <c r="B548" s="53"/>
      <c r="C548" s="53"/>
      <c r="D548" s="53"/>
      <c r="E548" s="53"/>
      <c r="F548" s="53"/>
      <c r="G548" s="53"/>
    </row>
    <row r="549" ht="15.75" customHeight="1">
      <c r="A549" s="53"/>
      <c r="B549" s="53"/>
      <c r="C549" s="53"/>
      <c r="D549" s="53"/>
      <c r="E549" s="53"/>
      <c r="F549" s="53"/>
      <c r="G549" s="53"/>
    </row>
    <row r="550" ht="15.75" customHeight="1">
      <c r="A550" s="53"/>
      <c r="B550" s="53"/>
      <c r="C550" s="53"/>
      <c r="D550" s="53"/>
      <c r="E550" s="53"/>
      <c r="F550" s="53"/>
      <c r="G550" s="53"/>
    </row>
    <row r="551" ht="15.75" customHeight="1">
      <c r="A551" s="53"/>
      <c r="B551" s="53"/>
      <c r="C551" s="53"/>
      <c r="D551" s="53"/>
      <c r="E551" s="53"/>
      <c r="F551" s="53"/>
      <c r="G551" s="53"/>
    </row>
    <row r="552" ht="15.75" customHeight="1">
      <c r="A552" s="53"/>
      <c r="B552" s="53"/>
      <c r="C552" s="53"/>
      <c r="D552" s="53"/>
      <c r="E552" s="53"/>
      <c r="F552" s="53"/>
      <c r="G552" s="53"/>
    </row>
    <row r="553" ht="15.75" customHeight="1">
      <c r="A553" s="53"/>
      <c r="B553" s="53"/>
      <c r="C553" s="53"/>
      <c r="D553" s="53"/>
      <c r="E553" s="53"/>
      <c r="F553" s="53"/>
      <c r="G553" s="53"/>
    </row>
    <row r="554" ht="15.75" customHeight="1">
      <c r="A554" s="53"/>
      <c r="B554" s="53"/>
      <c r="C554" s="53"/>
      <c r="D554" s="53"/>
      <c r="E554" s="53"/>
      <c r="F554" s="53"/>
      <c r="G554" s="53"/>
    </row>
    <row r="555" ht="15.75" customHeight="1">
      <c r="A555" s="53"/>
      <c r="B555" s="53"/>
      <c r="C555" s="53"/>
      <c r="D555" s="53"/>
      <c r="E555" s="53"/>
      <c r="F555" s="53"/>
      <c r="G555" s="53"/>
    </row>
    <row r="556" ht="15.75" customHeight="1">
      <c r="A556" s="53"/>
      <c r="B556" s="53"/>
      <c r="C556" s="53"/>
      <c r="D556" s="53"/>
      <c r="E556" s="53"/>
      <c r="F556" s="53"/>
      <c r="G556" s="53"/>
    </row>
    <row r="557" ht="15.75" customHeight="1">
      <c r="A557" s="53"/>
      <c r="B557" s="53"/>
      <c r="C557" s="53"/>
      <c r="D557" s="53"/>
      <c r="E557" s="53"/>
      <c r="F557" s="53"/>
      <c r="G557" s="53"/>
    </row>
    <row r="558" ht="15.75" customHeight="1">
      <c r="A558" s="53"/>
      <c r="B558" s="53"/>
      <c r="C558" s="53"/>
      <c r="D558" s="53"/>
      <c r="E558" s="53"/>
      <c r="F558" s="53"/>
      <c r="G558" s="53"/>
    </row>
    <row r="559" ht="15.75" customHeight="1">
      <c r="A559" s="53"/>
      <c r="B559" s="53"/>
      <c r="C559" s="53"/>
      <c r="D559" s="53"/>
      <c r="E559" s="53"/>
      <c r="F559" s="53"/>
      <c r="G559" s="53"/>
    </row>
    <row r="560" ht="15.75" customHeight="1">
      <c r="A560" s="53"/>
      <c r="B560" s="53"/>
      <c r="C560" s="53"/>
      <c r="D560" s="53"/>
      <c r="E560" s="53"/>
      <c r="F560" s="53"/>
      <c r="G560" s="53"/>
    </row>
    <row r="561" ht="15.75" customHeight="1">
      <c r="A561" s="53"/>
      <c r="B561" s="53"/>
      <c r="C561" s="53"/>
      <c r="D561" s="53"/>
      <c r="E561" s="53"/>
      <c r="F561" s="53"/>
      <c r="G561" s="53"/>
    </row>
    <row r="562" ht="15.75" customHeight="1">
      <c r="A562" s="53"/>
      <c r="B562" s="53"/>
      <c r="C562" s="53"/>
      <c r="D562" s="53"/>
      <c r="E562" s="53"/>
      <c r="F562" s="53"/>
      <c r="G562" s="53"/>
    </row>
    <row r="563" ht="15.75" customHeight="1">
      <c r="A563" s="53"/>
      <c r="B563" s="53"/>
      <c r="C563" s="53"/>
      <c r="D563" s="53"/>
      <c r="E563" s="53"/>
      <c r="F563" s="53"/>
      <c r="G563" s="53"/>
    </row>
    <row r="564" ht="15.75" customHeight="1">
      <c r="A564" s="53"/>
      <c r="B564" s="53"/>
      <c r="C564" s="53"/>
      <c r="D564" s="53"/>
      <c r="E564" s="53"/>
      <c r="F564" s="53"/>
      <c r="G564" s="53"/>
    </row>
    <row r="565" ht="15.75" customHeight="1">
      <c r="A565" s="53"/>
      <c r="B565" s="53"/>
      <c r="C565" s="53"/>
      <c r="D565" s="53"/>
      <c r="E565" s="53"/>
      <c r="F565" s="53"/>
      <c r="G565" s="53"/>
    </row>
    <row r="566" ht="15.75" customHeight="1">
      <c r="A566" s="53"/>
      <c r="B566" s="53"/>
      <c r="C566" s="53"/>
      <c r="D566" s="53"/>
      <c r="E566" s="53"/>
      <c r="F566" s="53"/>
      <c r="G566" s="53"/>
    </row>
    <row r="567" ht="15.75" customHeight="1">
      <c r="A567" s="53"/>
      <c r="B567" s="53"/>
      <c r="C567" s="53"/>
      <c r="D567" s="53"/>
      <c r="E567" s="53"/>
      <c r="F567" s="53"/>
      <c r="G567" s="53"/>
    </row>
    <row r="568" ht="15.75" customHeight="1">
      <c r="A568" s="53"/>
      <c r="B568" s="53"/>
      <c r="C568" s="53"/>
      <c r="D568" s="53"/>
      <c r="E568" s="53"/>
      <c r="F568" s="53"/>
      <c r="G568" s="53"/>
    </row>
    <row r="569" ht="15.75" customHeight="1">
      <c r="A569" s="53"/>
      <c r="B569" s="53"/>
      <c r="C569" s="53"/>
      <c r="D569" s="53"/>
      <c r="E569" s="53"/>
      <c r="F569" s="53"/>
      <c r="G569" s="53"/>
    </row>
    <row r="570" ht="15.75" customHeight="1">
      <c r="A570" s="53"/>
      <c r="B570" s="53"/>
      <c r="C570" s="53"/>
      <c r="D570" s="53"/>
      <c r="E570" s="53"/>
      <c r="F570" s="53"/>
      <c r="G570" s="53"/>
    </row>
    <row r="571" ht="15.75" customHeight="1">
      <c r="A571" s="53"/>
      <c r="B571" s="53"/>
      <c r="C571" s="53"/>
      <c r="D571" s="53"/>
      <c r="E571" s="53"/>
      <c r="F571" s="53"/>
      <c r="G571" s="53"/>
    </row>
    <row r="572" ht="15.75" customHeight="1">
      <c r="A572" s="53"/>
      <c r="B572" s="53"/>
      <c r="C572" s="53"/>
      <c r="D572" s="53"/>
      <c r="E572" s="53"/>
      <c r="F572" s="53"/>
      <c r="G572" s="53"/>
    </row>
    <row r="573" ht="15.75" customHeight="1">
      <c r="A573" s="53"/>
      <c r="B573" s="53"/>
      <c r="C573" s="53"/>
      <c r="D573" s="53"/>
      <c r="E573" s="53"/>
      <c r="F573" s="53"/>
      <c r="G573" s="53"/>
    </row>
    <row r="574" ht="15.75" customHeight="1">
      <c r="A574" s="53"/>
      <c r="B574" s="53"/>
      <c r="C574" s="53"/>
      <c r="D574" s="53"/>
      <c r="E574" s="53"/>
      <c r="F574" s="53"/>
      <c r="G574" s="53"/>
    </row>
    <row r="575" ht="15.75" customHeight="1">
      <c r="A575" s="53"/>
      <c r="B575" s="53"/>
      <c r="C575" s="53"/>
      <c r="D575" s="53"/>
      <c r="E575" s="53"/>
      <c r="F575" s="53"/>
      <c r="G575" s="53"/>
    </row>
    <row r="576" ht="15.75" customHeight="1">
      <c r="A576" s="53"/>
      <c r="B576" s="53"/>
      <c r="C576" s="53"/>
      <c r="D576" s="53"/>
      <c r="E576" s="53"/>
      <c r="F576" s="53"/>
      <c r="G576" s="53"/>
    </row>
    <row r="577" ht="15.75" customHeight="1">
      <c r="A577" s="53"/>
      <c r="B577" s="53"/>
      <c r="C577" s="53"/>
      <c r="D577" s="53"/>
      <c r="E577" s="53"/>
      <c r="F577" s="53"/>
      <c r="G577" s="53"/>
    </row>
    <row r="578" ht="15.75" customHeight="1">
      <c r="A578" s="53"/>
      <c r="B578" s="53"/>
      <c r="C578" s="53"/>
      <c r="D578" s="53"/>
      <c r="E578" s="53"/>
      <c r="F578" s="53"/>
      <c r="G578" s="53"/>
    </row>
    <row r="579" ht="15.75" customHeight="1">
      <c r="A579" s="53"/>
      <c r="B579" s="53"/>
      <c r="C579" s="53"/>
      <c r="D579" s="53"/>
      <c r="E579" s="53"/>
      <c r="F579" s="53"/>
      <c r="G579" s="53"/>
    </row>
    <row r="580" ht="15.75" customHeight="1">
      <c r="A580" s="53"/>
      <c r="B580" s="53"/>
      <c r="C580" s="53"/>
      <c r="D580" s="53"/>
      <c r="E580" s="53"/>
      <c r="F580" s="53"/>
      <c r="G580" s="53"/>
    </row>
    <row r="581" ht="15.75" customHeight="1">
      <c r="A581" s="53"/>
      <c r="B581" s="53"/>
      <c r="C581" s="53"/>
      <c r="D581" s="53"/>
      <c r="E581" s="53"/>
      <c r="F581" s="53"/>
      <c r="G581" s="53"/>
    </row>
    <row r="582" ht="15.75" customHeight="1">
      <c r="A582" s="53"/>
      <c r="B582" s="53"/>
      <c r="C582" s="53"/>
      <c r="D582" s="53"/>
      <c r="E582" s="53"/>
      <c r="F582" s="53"/>
      <c r="G582" s="53"/>
    </row>
    <row r="583" ht="15.75" customHeight="1">
      <c r="A583" s="53"/>
      <c r="B583" s="53"/>
      <c r="C583" s="53"/>
      <c r="D583" s="53"/>
      <c r="E583" s="53"/>
      <c r="F583" s="53"/>
      <c r="G583" s="53"/>
    </row>
    <row r="584" ht="15.75" customHeight="1">
      <c r="A584" s="53"/>
      <c r="B584" s="53"/>
      <c r="C584" s="53"/>
      <c r="D584" s="53"/>
      <c r="E584" s="53"/>
      <c r="F584" s="53"/>
      <c r="G584" s="53"/>
    </row>
    <row r="585" ht="15.75" customHeight="1">
      <c r="A585" s="53"/>
      <c r="B585" s="53"/>
      <c r="C585" s="53"/>
      <c r="D585" s="53"/>
      <c r="E585" s="53"/>
      <c r="F585" s="53"/>
      <c r="G585" s="53"/>
    </row>
    <row r="586" ht="15.75" customHeight="1">
      <c r="A586" s="53"/>
      <c r="B586" s="53"/>
      <c r="C586" s="53"/>
      <c r="D586" s="53"/>
      <c r="E586" s="53"/>
      <c r="F586" s="53"/>
      <c r="G586" s="53"/>
    </row>
    <row r="587" ht="15.75" customHeight="1">
      <c r="A587" s="53"/>
      <c r="B587" s="53"/>
      <c r="C587" s="53"/>
      <c r="D587" s="53"/>
      <c r="E587" s="53"/>
      <c r="F587" s="53"/>
      <c r="G587" s="53"/>
    </row>
    <row r="588" ht="15.75" customHeight="1">
      <c r="A588" s="53"/>
      <c r="B588" s="53"/>
      <c r="C588" s="53"/>
      <c r="D588" s="53"/>
      <c r="E588" s="53"/>
      <c r="F588" s="53"/>
      <c r="G588" s="53"/>
    </row>
    <row r="589" ht="15.75" customHeight="1">
      <c r="A589" s="53"/>
      <c r="B589" s="53"/>
      <c r="C589" s="53"/>
      <c r="D589" s="53"/>
      <c r="E589" s="53"/>
      <c r="F589" s="53"/>
      <c r="G589" s="53"/>
    </row>
    <row r="590" ht="15.75" customHeight="1">
      <c r="A590" s="53"/>
      <c r="B590" s="53"/>
      <c r="C590" s="53"/>
      <c r="D590" s="53"/>
      <c r="E590" s="53"/>
      <c r="F590" s="53"/>
      <c r="G590" s="53"/>
    </row>
    <row r="591" ht="15.75" customHeight="1">
      <c r="A591" s="53"/>
      <c r="B591" s="53"/>
      <c r="C591" s="53"/>
      <c r="D591" s="53"/>
      <c r="E591" s="53"/>
      <c r="F591" s="53"/>
      <c r="G591" s="53"/>
    </row>
    <row r="592" ht="15.75" customHeight="1">
      <c r="A592" s="53"/>
      <c r="B592" s="53"/>
      <c r="C592" s="53"/>
      <c r="D592" s="53"/>
      <c r="E592" s="53"/>
      <c r="F592" s="53"/>
      <c r="G592" s="53"/>
    </row>
    <row r="593" ht="15.75" customHeight="1">
      <c r="A593" s="53"/>
      <c r="B593" s="53"/>
      <c r="C593" s="53"/>
      <c r="D593" s="53"/>
      <c r="E593" s="53"/>
      <c r="F593" s="53"/>
      <c r="G593" s="53"/>
    </row>
    <row r="594" ht="15.75" customHeight="1">
      <c r="A594" s="53"/>
      <c r="B594" s="53"/>
      <c r="C594" s="53"/>
      <c r="D594" s="53"/>
      <c r="E594" s="53"/>
      <c r="F594" s="53"/>
      <c r="G594" s="53"/>
    </row>
    <row r="595" ht="15.75" customHeight="1">
      <c r="A595" s="53"/>
      <c r="B595" s="53"/>
      <c r="C595" s="53"/>
      <c r="D595" s="53"/>
      <c r="E595" s="53"/>
      <c r="F595" s="53"/>
      <c r="G595" s="53"/>
    </row>
    <row r="596" ht="15.75" customHeight="1">
      <c r="A596" s="53"/>
      <c r="B596" s="53"/>
      <c r="C596" s="53"/>
      <c r="D596" s="53"/>
      <c r="E596" s="53"/>
      <c r="F596" s="53"/>
      <c r="G596" s="53"/>
    </row>
    <row r="597" ht="15.75" customHeight="1">
      <c r="A597" s="53"/>
      <c r="B597" s="53"/>
      <c r="C597" s="53"/>
      <c r="D597" s="53"/>
      <c r="E597" s="53"/>
      <c r="F597" s="53"/>
      <c r="G597" s="53"/>
    </row>
    <row r="598" ht="15.75" customHeight="1">
      <c r="A598" s="53"/>
      <c r="B598" s="53"/>
      <c r="C598" s="53"/>
      <c r="D598" s="53"/>
      <c r="E598" s="53"/>
      <c r="F598" s="53"/>
      <c r="G598" s="53"/>
    </row>
    <row r="599" ht="15.75" customHeight="1">
      <c r="A599" s="53"/>
      <c r="B599" s="53"/>
      <c r="C599" s="53"/>
      <c r="D599" s="53"/>
      <c r="E599" s="53"/>
      <c r="F599" s="53"/>
      <c r="G599" s="53"/>
    </row>
    <row r="600" ht="15.75" customHeight="1">
      <c r="A600" s="53"/>
      <c r="B600" s="53"/>
      <c r="C600" s="53"/>
      <c r="D600" s="53"/>
      <c r="E600" s="53"/>
      <c r="F600" s="53"/>
      <c r="G600" s="53"/>
    </row>
    <row r="601" ht="15.75" customHeight="1">
      <c r="A601" s="53"/>
      <c r="B601" s="53"/>
      <c r="C601" s="53"/>
      <c r="D601" s="53"/>
      <c r="E601" s="53"/>
      <c r="F601" s="53"/>
      <c r="G601" s="53"/>
    </row>
    <row r="602" ht="15.75" customHeight="1">
      <c r="A602" s="53"/>
      <c r="B602" s="53"/>
      <c r="C602" s="53"/>
      <c r="D602" s="53"/>
      <c r="E602" s="53"/>
      <c r="F602" s="53"/>
      <c r="G602" s="53"/>
    </row>
    <row r="603" ht="15.75" customHeight="1">
      <c r="A603" s="53"/>
      <c r="B603" s="53"/>
      <c r="C603" s="53"/>
      <c r="D603" s="53"/>
      <c r="E603" s="53"/>
      <c r="F603" s="53"/>
      <c r="G603" s="53"/>
    </row>
    <row r="604" ht="15.75" customHeight="1">
      <c r="A604" s="53"/>
      <c r="B604" s="53"/>
      <c r="C604" s="53"/>
      <c r="D604" s="53"/>
      <c r="E604" s="53"/>
      <c r="F604" s="53"/>
      <c r="G604" s="53"/>
    </row>
    <row r="605" ht="15.75" customHeight="1">
      <c r="A605" s="53"/>
      <c r="B605" s="53"/>
      <c r="C605" s="53"/>
      <c r="D605" s="53"/>
      <c r="E605" s="53"/>
      <c r="F605" s="53"/>
      <c r="G605" s="53"/>
    </row>
    <row r="606" ht="15.75" customHeight="1">
      <c r="A606" s="53"/>
      <c r="B606" s="53"/>
      <c r="C606" s="53"/>
      <c r="D606" s="53"/>
      <c r="E606" s="53"/>
      <c r="F606" s="53"/>
      <c r="G606" s="53"/>
    </row>
    <row r="607" ht="15.75" customHeight="1">
      <c r="A607" s="53"/>
      <c r="B607" s="53"/>
      <c r="C607" s="53"/>
      <c r="D607" s="53"/>
      <c r="E607" s="53"/>
      <c r="F607" s="53"/>
      <c r="G607" s="53"/>
    </row>
    <row r="608" ht="15.75" customHeight="1">
      <c r="A608" s="53"/>
      <c r="B608" s="53"/>
      <c r="C608" s="53"/>
      <c r="D608" s="53"/>
      <c r="E608" s="53"/>
      <c r="F608" s="53"/>
      <c r="G608" s="53"/>
    </row>
    <row r="609" ht="15.75" customHeight="1">
      <c r="A609" s="53"/>
      <c r="B609" s="53"/>
      <c r="C609" s="53"/>
      <c r="D609" s="53"/>
      <c r="E609" s="53"/>
      <c r="F609" s="53"/>
      <c r="G609" s="53"/>
    </row>
    <row r="610" ht="15.75" customHeight="1">
      <c r="A610" s="53"/>
      <c r="B610" s="53"/>
      <c r="C610" s="53"/>
      <c r="D610" s="53"/>
      <c r="E610" s="53"/>
      <c r="F610" s="53"/>
      <c r="G610" s="53"/>
    </row>
    <row r="611" ht="15.75" customHeight="1">
      <c r="A611" s="53"/>
      <c r="B611" s="53"/>
      <c r="C611" s="53"/>
      <c r="D611" s="53"/>
      <c r="E611" s="53"/>
      <c r="F611" s="53"/>
      <c r="G611" s="53"/>
    </row>
    <row r="612" ht="15.75" customHeight="1">
      <c r="A612" s="53"/>
      <c r="B612" s="53"/>
      <c r="C612" s="53"/>
      <c r="D612" s="53"/>
      <c r="E612" s="53"/>
      <c r="F612" s="53"/>
      <c r="G612" s="53"/>
    </row>
    <row r="613" ht="15.75" customHeight="1">
      <c r="A613" s="53"/>
      <c r="B613" s="53"/>
      <c r="C613" s="53"/>
      <c r="D613" s="53"/>
      <c r="E613" s="53"/>
      <c r="F613" s="53"/>
      <c r="G613" s="53"/>
    </row>
    <row r="614" ht="15.75" customHeight="1">
      <c r="A614" s="53"/>
      <c r="B614" s="53"/>
      <c r="C614" s="53"/>
      <c r="D614" s="53"/>
      <c r="E614" s="53"/>
      <c r="F614" s="53"/>
      <c r="G614" s="53"/>
    </row>
    <row r="615" ht="15.75" customHeight="1">
      <c r="A615" s="53"/>
      <c r="B615" s="53"/>
      <c r="C615" s="53"/>
      <c r="D615" s="53"/>
      <c r="E615" s="53"/>
      <c r="F615" s="53"/>
      <c r="G615" s="53"/>
    </row>
    <row r="616" ht="15.75" customHeight="1">
      <c r="A616" s="53"/>
      <c r="B616" s="53"/>
      <c r="C616" s="53"/>
      <c r="D616" s="53"/>
      <c r="E616" s="53"/>
      <c r="F616" s="53"/>
      <c r="G616" s="53"/>
    </row>
    <row r="617" ht="15.75" customHeight="1">
      <c r="A617" s="53"/>
      <c r="B617" s="53"/>
      <c r="C617" s="53"/>
      <c r="D617" s="53"/>
      <c r="E617" s="53"/>
      <c r="F617" s="53"/>
      <c r="G617" s="53"/>
    </row>
    <row r="618" ht="15.75" customHeight="1">
      <c r="A618" s="53"/>
      <c r="B618" s="53"/>
      <c r="C618" s="53"/>
      <c r="D618" s="53"/>
      <c r="E618" s="53"/>
      <c r="F618" s="53"/>
      <c r="G618" s="53"/>
    </row>
    <row r="619" ht="15.75" customHeight="1">
      <c r="A619" s="53"/>
      <c r="B619" s="53"/>
      <c r="C619" s="53"/>
      <c r="D619" s="53"/>
      <c r="E619" s="53"/>
      <c r="F619" s="53"/>
      <c r="G619" s="53"/>
    </row>
    <row r="620" ht="15.75" customHeight="1">
      <c r="A620" s="53"/>
      <c r="B620" s="53"/>
      <c r="C620" s="53"/>
      <c r="D620" s="53"/>
      <c r="E620" s="53"/>
      <c r="F620" s="53"/>
      <c r="G620" s="53"/>
    </row>
    <row r="621" ht="15.75" customHeight="1">
      <c r="A621" s="53"/>
      <c r="B621" s="53"/>
      <c r="C621" s="53"/>
      <c r="D621" s="53"/>
      <c r="E621" s="53"/>
      <c r="F621" s="53"/>
      <c r="G621" s="53"/>
    </row>
    <row r="622" ht="15.75" customHeight="1">
      <c r="A622" s="53"/>
      <c r="B622" s="53"/>
      <c r="C622" s="53"/>
      <c r="D622" s="53"/>
      <c r="E622" s="53"/>
      <c r="F622" s="53"/>
      <c r="G622" s="53"/>
    </row>
    <row r="623" ht="15.75" customHeight="1">
      <c r="A623" s="53"/>
      <c r="B623" s="53"/>
      <c r="C623" s="53"/>
      <c r="D623" s="53"/>
      <c r="E623" s="53"/>
      <c r="F623" s="53"/>
      <c r="G623" s="53"/>
    </row>
    <row r="624" ht="15.75" customHeight="1">
      <c r="A624" s="53"/>
      <c r="B624" s="53"/>
      <c r="C624" s="53"/>
      <c r="D624" s="53"/>
      <c r="E624" s="53"/>
      <c r="F624" s="53"/>
      <c r="G624" s="53"/>
    </row>
    <row r="625" ht="15.75" customHeight="1">
      <c r="A625" s="53"/>
      <c r="B625" s="53"/>
      <c r="C625" s="53"/>
      <c r="D625" s="53"/>
      <c r="E625" s="53"/>
      <c r="F625" s="53"/>
      <c r="G625" s="53"/>
    </row>
    <row r="626" ht="15.75" customHeight="1">
      <c r="A626" s="53"/>
      <c r="B626" s="53"/>
      <c r="C626" s="53"/>
      <c r="D626" s="53"/>
      <c r="E626" s="53"/>
      <c r="F626" s="53"/>
      <c r="G626" s="53"/>
    </row>
    <row r="627" ht="15.75" customHeight="1">
      <c r="A627" s="53"/>
      <c r="B627" s="53"/>
      <c r="C627" s="53"/>
      <c r="D627" s="53"/>
      <c r="E627" s="53"/>
      <c r="F627" s="53"/>
      <c r="G627" s="53"/>
    </row>
    <row r="628" ht="15.75" customHeight="1">
      <c r="A628" s="53"/>
      <c r="B628" s="53"/>
      <c r="C628" s="53"/>
      <c r="D628" s="53"/>
      <c r="E628" s="53"/>
      <c r="F628" s="53"/>
      <c r="G628" s="53"/>
    </row>
    <row r="629" ht="15.75" customHeight="1">
      <c r="A629" s="53"/>
      <c r="B629" s="53"/>
      <c r="C629" s="53"/>
      <c r="D629" s="53"/>
      <c r="E629" s="53"/>
      <c r="F629" s="53"/>
      <c r="G629" s="53"/>
    </row>
    <row r="630" ht="15.75" customHeight="1">
      <c r="A630" s="53"/>
      <c r="B630" s="53"/>
      <c r="C630" s="53"/>
      <c r="D630" s="53"/>
      <c r="E630" s="53"/>
      <c r="F630" s="53"/>
      <c r="G630" s="53"/>
    </row>
    <row r="631" ht="15.75" customHeight="1">
      <c r="A631" s="53"/>
      <c r="B631" s="53"/>
      <c r="C631" s="53"/>
      <c r="D631" s="53"/>
      <c r="E631" s="53"/>
      <c r="F631" s="53"/>
      <c r="G631" s="53"/>
    </row>
    <row r="632" ht="15.75" customHeight="1">
      <c r="A632" s="53"/>
      <c r="B632" s="53"/>
      <c r="C632" s="53"/>
      <c r="D632" s="53"/>
      <c r="E632" s="53"/>
      <c r="F632" s="53"/>
      <c r="G632" s="53"/>
    </row>
    <row r="633" ht="15.75" customHeight="1">
      <c r="A633" s="53"/>
      <c r="B633" s="53"/>
      <c r="C633" s="53"/>
      <c r="D633" s="53"/>
      <c r="E633" s="53"/>
      <c r="F633" s="53"/>
      <c r="G633" s="53"/>
    </row>
    <row r="634" ht="15.75" customHeight="1">
      <c r="A634" s="53"/>
      <c r="B634" s="53"/>
      <c r="C634" s="53"/>
      <c r="D634" s="53"/>
      <c r="E634" s="53"/>
      <c r="F634" s="53"/>
      <c r="G634" s="53"/>
    </row>
    <row r="635" ht="15.75" customHeight="1">
      <c r="A635" s="53"/>
      <c r="B635" s="53"/>
      <c r="C635" s="53"/>
      <c r="D635" s="53"/>
      <c r="E635" s="53"/>
      <c r="F635" s="53"/>
      <c r="G635" s="53"/>
    </row>
    <row r="636" ht="15.75" customHeight="1">
      <c r="A636" s="53"/>
      <c r="B636" s="53"/>
      <c r="C636" s="53"/>
      <c r="D636" s="53"/>
      <c r="E636" s="53"/>
      <c r="F636" s="53"/>
      <c r="G636" s="53"/>
    </row>
    <row r="637" ht="15.75" customHeight="1">
      <c r="A637" s="53"/>
      <c r="B637" s="53"/>
      <c r="C637" s="53"/>
      <c r="D637" s="53"/>
      <c r="E637" s="53"/>
      <c r="F637" s="53"/>
      <c r="G637" s="53"/>
    </row>
    <row r="638" ht="15.75" customHeight="1">
      <c r="A638" s="53"/>
      <c r="B638" s="53"/>
      <c r="C638" s="53"/>
      <c r="D638" s="53"/>
      <c r="E638" s="53"/>
      <c r="F638" s="53"/>
      <c r="G638" s="53"/>
    </row>
    <row r="639" ht="15.75" customHeight="1">
      <c r="A639" s="53"/>
      <c r="B639" s="53"/>
      <c r="C639" s="53"/>
      <c r="D639" s="53"/>
      <c r="E639" s="53"/>
      <c r="F639" s="53"/>
      <c r="G639" s="53"/>
    </row>
    <row r="640" ht="15.75" customHeight="1">
      <c r="A640" s="53"/>
      <c r="B640" s="53"/>
      <c r="C640" s="53"/>
      <c r="D640" s="53"/>
      <c r="E640" s="53"/>
      <c r="F640" s="53"/>
      <c r="G640" s="53"/>
    </row>
    <row r="641" ht="15.75" customHeight="1">
      <c r="A641" s="53"/>
      <c r="B641" s="53"/>
      <c r="C641" s="53"/>
      <c r="D641" s="53"/>
      <c r="E641" s="53"/>
      <c r="F641" s="53"/>
      <c r="G641" s="53"/>
    </row>
    <row r="642" ht="15.75" customHeight="1">
      <c r="A642" s="53"/>
      <c r="B642" s="53"/>
      <c r="C642" s="53"/>
      <c r="D642" s="53"/>
      <c r="E642" s="53"/>
      <c r="F642" s="53"/>
      <c r="G642" s="53"/>
    </row>
    <row r="643" ht="15.75" customHeight="1">
      <c r="A643" s="53"/>
      <c r="B643" s="53"/>
      <c r="C643" s="53"/>
      <c r="D643" s="53"/>
      <c r="E643" s="53"/>
      <c r="F643" s="53"/>
      <c r="G643" s="53"/>
    </row>
    <row r="644" ht="15.75" customHeight="1">
      <c r="A644" s="53"/>
      <c r="B644" s="53"/>
      <c r="C644" s="53"/>
      <c r="D644" s="53"/>
      <c r="E644" s="53"/>
      <c r="F644" s="53"/>
      <c r="G644" s="53"/>
    </row>
    <row r="645" ht="15.75" customHeight="1">
      <c r="A645" s="53"/>
      <c r="B645" s="53"/>
      <c r="C645" s="53"/>
      <c r="D645" s="53"/>
      <c r="E645" s="53"/>
      <c r="F645" s="53"/>
      <c r="G645" s="53"/>
    </row>
    <row r="646" ht="15.75" customHeight="1">
      <c r="A646" s="53"/>
      <c r="B646" s="53"/>
      <c r="C646" s="53"/>
      <c r="D646" s="53"/>
      <c r="E646" s="53"/>
      <c r="F646" s="53"/>
      <c r="G646" s="53"/>
    </row>
    <row r="647" ht="15.75" customHeight="1">
      <c r="A647" s="53"/>
      <c r="B647" s="53"/>
      <c r="C647" s="53"/>
      <c r="D647" s="53"/>
      <c r="E647" s="53"/>
      <c r="F647" s="53"/>
      <c r="G647" s="53"/>
    </row>
    <row r="648" ht="15.75" customHeight="1">
      <c r="A648" s="53"/>
      <c r="B648" s="53"/>
      <c r="C648" s="53"/>
      <c r="D648" s="53"/>
      <c r="E648" s="53"/>
      <c r="F648" s="53"/>
      <c r="G648" s="53"/>
    </row>
    <row r="649" ht="15.75" customHeight="1">
      <c r="A649" s="53"/>
      <c r="B649" s="53"/>
      <c r="C649" s="53"/>
      <c r="D649" s="53"/>
      <c r="E649" s="53"/>
      <c r="F649" s="53"/>
      <c r="G649" s="53"/>
    </row>
    <row r="650" ht="15.75" customHeight="1">
      <c r="A650" s="53"/>
      <c r="B650" s="53"/>
      <c r="C650" s="53"/>
      <c r="D650" s="53"/>
      <c r="E650" s="53"/>
      <c r="F650" s="53"/>
      <c r="G650" s="53"/>
    </row>
    <row r="651" ht="15.75" customHeight="1">
      <c r="A651" s="53"/>
      <c r="B651" s="53"/>
      <c r="C651" s="53"/>
      <c r="D651" s="53"/>
      <c r="E651" s="53"/>
      <c r="F651" s="53"/>
      <c r="G651" s="53"/>
    </row>
    <row r="652" ht="15.75" customHeight="1">
      <c r="A652" s="53"/>
      <c r="B652" s="53"/>
      <c r="C652" s="53"/>
      <c r="D652" s="53"/>
      <c r="E652" s="53"/>
      <c r="F652" s="53"/>
      <c r="G652" s="53"/>
    </row>
    <row r="653" ht="15.75" customHeight="1">
      <c r="A653" s="53"/>
      <c r="B653" s="53"/>
      <c r="C653" s="53"/>
      <c r="D653" s="53"/>
      <c r="E653" s="53"/>
      <c r="F653" s="53"/>
      <c r="G653" s="53"/>
    </row>
    <row r="654" ht="15.75" customHeight="1">
      <c r="A654" s="53"/>
      <c r="B654" s="53"/>
      <c r="C654" s="53"/>
      <c r="D654" s="53"/>
      <c r="E654" s="53"/>
      <c r="F654" s="53"/>
      <c r="G654" s="53"/>
    </row>
    <row r="655" ht="15.75" customHeight="1">
      <c r="A655" s="53"/>
      <c r="B655" s="53"/>
      <c r="C655" s="53"/>
      <c r="D655" s="53"/>
      <c r="E655" s="53"/>
      <c r="F655" s="53"/>
      <c r="G655" s="53"/>
    </row>
    <row r="656" ht="15.75" customHeight="1">
      <c r="A656" s="53"/>
      <c r="B656" s="53"/>
      <c r="C656" s="53"/>
      <c r="D656" s="53"/>
      <c r="E656" s="53"/>
      <c r="F656" s="53"/>
      <c r="G656" s="53"/>
    </row>
    <row r="657" ht="15.75" customHeight="1">
      <c r="A657" s="53"/>
      <c r="B657" s="53"/>
      <c r="C657" s="53"/>
      <c r="D657" s="53"/>
      <c r="E657" s="53"/>
      <c r="F657" s="53"/>
      <c r="G657" s="53"/>
    </row>
    <row r="658" ht="15.75" customHeight="1">
      <c r="A658" s="53"/>
      <c r="B658" s="53"/>
      <c r="C658" s="53"/>
      <c r="D658" s="53"/>
      <c r="E658" s="53"/>
      <c r="F658" s="53"/>
      <c r="G658" s="53"/>
    </row>
    <row r="659" ht="15.75" customHeight="1">
      <c r="A659" s="53"/>
      <c r="B659" s="53"/>
      <c r="C659" s="53"/>
      <c r="D659" s="53"/>
      <c r="E659" s="53"/>
      <c r="F659" s="53"/>
      <c r="G659" s="53"/>
    </row>
    <row r="660" ht="15.75" customHeight="1">
      <c r="A660" s="53"/>
      <c r="B660" s="53"/>
      <c r="C660" s="53"/>
      <c r="D660" s="53"/>
      <c r="E660" s="53"/>
      <c r="F660" s="53"/>
      <c r="G660" s="53"/>
    </row>
    <row r="661" ht="15.75" customHeight="1">
      <c r="A661" s="53"/>
      <c r="B661" s="53"/>
      <c r="C661" s="53"/>
      <c r="D661" s="53"/>
      <c r="E661" s="53"/>
      <c r="F661" s="53"/>
      <c r="G661" s="53"/>
    </row>
    <row r="662" ht="15.75" customHeight="1">
      <c r="A662" s="53"/>
      <c r="B662" s="53"/>
      <c r="C662" s="53"/>
      <c r="D662" s="53"/>
      <c r="E662" s="53"/>
      <c r="F662" s="53"/>
      <c r="G662" s="53"/>
    </row>
    <row r="663" ht="15.75" customHeight="1">
      <c r="A663" s="53"/>
      <c r="B663" s="53"/>
      <c r="C663" s="53"/>
      <c r="D663" s="53"/>
      <c r="E663" s="53"/>
      <c r="F663" s="53"/>
      <c r="G663" s="53"/>
    </row>
    <row r="664" ht="15.75" customHeight="1">
      <c r="A664" s="53"/>
      <c r="B664" s="53"/>
      <c r="C664" s="53"/>
      <c r="D664" s="53"/>
      <c r="E664" s="53"/>
      <c r="F664" s="53"/>
      <c r="G664" s="53"/>
    </row>
    <row r="665" ht="15.75" customHeight="1">
      <c r="A665" s="53"/>
      <c r="B665" s="53"/>
      <c r="C665" s="53"/>
      <c r="D665" s="53"/>
      <c r="E665" s="53"/>
      <c r="F665" s="53"/>
      <c r="G665" s="53"/>
    </row>
    <row r="666" ht="15.75" customHeight="1">
      <c r="A666" s="53"/>
      <c r="B666" s="53"/>
      <c r="C666" s="53"/>
      <c r="D666" s="53"/>
      <c r="E666" s="53"/>
      <c r="F666" s="53"/>
      <c r="G666" s="53"/>
    </row>
    <row r="667" ht="15.75" customHeight="1">
      <c r="A667" s="53"/>
      <c r="B667" s="53"/>
      <c r="C667" s="53"/>
      <c r="D667" s="53"/>
      <c r="E667" s="53"/>
      <c r="F667" s="53"/>
      <c r="G667" s="53"/>
    </row>
    <row r="668" ht="15.75" customHeight="1">
      <c r="A668" s="53"/>
      <c r="B668" s="53"/>
      <c r="C668" s="53"/>
      <c r="D668" s="53"/>
      <c r="E668" s="53"/>
      <c r="F668" s="53"/>
      <c r="G668" s="53"/>
    </row>
    <row r="669" ht="15.75" customHeight="1">
      <c r="A669" s="53"/>
      <c r="B669" s="53"/>
      <c r="C669" s="53"/>
      <c r="D669" s="53"/>
      <c r="E669" s="53"/>
      <c r="F669" s="53"/>
      <c r="G669" s="53"/>
    </row>
    <row r="670" ht="15.75" customHeight="1">
      <c r="A670" s="53"/>
      <c r="B670" s="53"/>
      <c r="C670" s="53"/>
      <c r="D670" s="53"/>
      <c r="E670" s="53"/>
      <c r="F670" s="53"/>
      <c r="G670" s="53"/>
    </row>
    <row r="671" ht="15.75" customHeight="1">
      <c r="A671" s="53"/>
      <c r="B671" s="53"/>
      <c r="C671" s="53"/>
      <c r="D671" s="53"/>
      <c r="E671" s="53"/>
      <c r="F671" s="53"/>
      <c r="G671" s="53"/>
    </row>
    <row r="672" ht="15.75" customHeight="1">
      <c r="A672" s="53"/>
      <c r="B672" s="53"/>
      <c r="C672" s="53"/>
      <c r="D672" s="53"/>
      <c r="E672" s="53"/>
      <c r="F672" s="53"/>
      <c r="G672" s="53"/>
    </row>
    <row r="673" ht="15.75" customHeight="1">
      <c r="A673" s="53"/>
      <c r="B673" s="53"/>
      <c r="C673" s="53"/>
      <c r="D673" s="53"/>
      <c r="E673" s="53"/>
      <c r="F673" s="53"/>
      <c r="G673" s="53"/>
    </row>
    <row r="674" ht="15.75" customHeight="1">
      <c r="A674" s="53"/>
      <c r="B674" s="53"/>
      <c r="C674" s="53"/>
      <c r="D674" s="53"/>
      <c r="E674" s="53"/>
      <c r="F674" s="53"/>
      <c r="G674" s="53"/>
    </row>
    <row r="675" ht="15.75" customHeight="1">
      <c r="A675" s="53"/>
      <c r="B675" s="53"/>
      <c r="C675" s="53"/>
      <c r="D675" s="53"/>
      <c r="E675" s="53"/>
      <c r="F675" s="53"/>
      <c r="G675" s="53"/>
    </row>
    <row r="676" ht="15.75" customHeight="1">
      <c r="A676" s="53"/>
      <c r="B676" s="53"/>
      <c r="C676" s="53"/>
      <c r="D676" s="53"/>
      <c r="E676" s="53"/>
      <c r="F676" s="53"/>
      <c r="G676" s="53"/>
    </row>
    <row r="677" ht="15.75" customHeight="1">
      <c r="A677" s="53"/>
      <c r="B677" s="53"/>
      <c r="C677" s="53"/>
      <c r="D677" s="53"/>
      <c r="E677" s="53"/>
      <c r="F677" s="53"/>
      <c r="G677" s="53"/>
    </row>
    <row r="678" ht="15.75" customHeight="1">
      <c r="A678" s="53"/>
      <c r="B678" s="53"/>
      <c r="C678" s="53"/>
      <c r="D678" s="53"/>
      <c r="E678" s="53"/>
      <c r="F678" s="53"/>
      <c r="G678" s="53"/>
    </row>
    <row r="679" ht="15.75" customHeight="1">
      <c r="A679" s="53"/>
      <c r="B679" s="53"/>
      <c r="C679" s="53"/>
      <c r="D679" s="53"/>
      <c r="E679" s="53"/>
      <c r="F679" s="53"/>
      <c r="G679" s="53"/>
    </row>
    <row r="680" ht="15.75" customHeight="1">
      <c r="A680" s="53"/>
      <c r="B680" s="53"/>
      <c r="C680" s="53"/>
      <c r="D680" s="53"/>
      <c r="E680" s="53"/>
      <c r="F680" s="53"/>
      <c r="G680" s="53"/>
    </row>
    <row r="681" ht="15.75" customHeight="1">
      <c r="A681" s="53"/>
      <c r="B681" s="53"/>
      <c r="C681" s="53"/>
      <c r="D681" s="53"/>
      <c r="E681" s="53"/>
      <c r="F681" s="53"/>
      <c r="G681" s="53"/>
    </row>
    <row r="682" ht="15.75" customHeight="1">
      <c r="A682" s="53"/>
      <c r="B682" s="53"/>
      <c r="C682" s="53"/>
      <c r="D682" s="53"/>
      <c r="E682" s="53"/>
      <c r="F682" s="53"/>
      <c r="G682" s="53"/>
    </row>
    <row r="683" ht="15.75" customHeight="1">
      <c r="A683" s="53"/>
      <c r="B683" s="53"/>
      <c r="C683" s="53"/>
      <c r="D683" s="53"/>
      <c r="E683" s="53"/>
      <c r="F683" s="53"/>
      <c r="G683" s="53"/>
    </row>
    <row r="684" ht="15.75" customHeight="1">
      <c r="A684" s="53"/>
      <c r="B684" s="53"/>
      <c r="C684" s="53"/>
      <c r="D684" s="53"/>
      <c r="E684" s="53"/>
      <c r="F684" s="53"/>
      <c r="G684" s="53"/>
    </row>
    <row r="685" ht="15.75" customHeight="1">
      <c r="A685" s="53"/>
      <c r="B685" s="53"/>
      <c r="C685" s="53"/>
      <c r="D685" s="53"/>
      <c r="E685" s="53"/>
      <c r="F685" s="53"/>
      <c r="G685" s="53"/>
    </row>
    <row r="686" ht="15.75" customHeight="1">
      <c r="A686" s="53"/>
      <c r="B686" s="53"/>
      <c r="C686" s="53"/>
      <c r="D686" s="53"/>
      <c r="E686" s="53"/>
      <c r="F686" s="53"/>
      <c r="G686" s="53"/>
    </row>
    <row r="687" ht="15.75" customHeight="1">
      <c r="A687" s="53"/>
      <c r="B687" s="53"/>
      <c r="C687" s="53"/>
      <c r="D687" s="53"/>
      <c r="E687" s="53"/>
      <c r="F687" s="53"/>
      <c r="G687" s="53"/>
    </row>
    <row r="688" ht="15.75" customHeight="1">
      <c r="A688" s="53"/>
      <c r="B688" s="53"/>
      <c r="C688" s="53"/>
      <c r="D688" s="53"/>
      <c r="E688" s="53"/>
      <c r="F688" s="53"/>
      <c r="G688" s="53"/>
    </row>
    <row r="689" ht="15.75" customHeight="1">
      <c r="A689" s="53"/>
      <c r="B689" s="53"/>
      <c r="C689" s="53"/>
      <c r="D689" s="53"/>
      <c r="E689" s="53"/>
      <c r="F689" s="53"/>
      <c r="G689" s="53"/>
    </row>
    <row r="690" ht="15.75" customHeight="1">
      <c r="A690" s="53"/>
      <c r="B690" s="53"/>
      <c r="C690" s="53"/>
      <c r="D690" s="53"/>
      <c r="E690" s="53"/>
      <c r="F690" s="53"/>
      <c r="G690" s="53"/>
    </row>
    <row r="691" ht="15.75" customHeight="1">
      <c r="A691" s="53"/>
      <c r="B691" s="53"/>
      <c r="C691" s="53"/>
      <c r="D691" s="53"/>
      <c r="E691" s="53"/>
      <c r="F691" s="53"/>
      <c r="G691" s="53"/>
    </row>
    <row r="692" ht="15.75" customHeight="1">
      <c r="A692" s="53"/>
      <c r="B692" s="53"/>
      <c r="C692" s="53"/>
      <c r="D692" s="53"/>
      <c r="E692" s="53"/>
      <c r="F692" s="53"/>
      <c r="G692" s="53"/>
    </row>
    <row r="693" ht="15.75" customHeight="1">
      <c r="A693" s="53"/>
      <c r="B693" s="53"/>
      <c r="C693" s="53"/>
      <c r="D693" s="53"/>
      <c r="E693" s="53"/>
      <c r="F693" s="53"/>
      <c r="G693" s="53"/>
    </row>
    <row r="694" ht="15.75" customHeight="1">
      <c r="A694" s="53"/>
      <c r="B694" s="53"/>
      <c r="C694" s="53"/>
      <c r="D694" s="53"/>
      <c r="E694" s="53"/>
      <c r="F694" s="53"/>
      <c r="G694" s="53"/>
    </row>
    <row r="695" ht="15.75" customHeight="1">
      <c r="A695" s="53"/>
      <c r="B695" s="53"/>
      <c r="C695" s="53"/>
      <c r="D695" s="53"/>
      <c r="E695" s="53"/>
      <c r="F695" s="53"/>
      <c r="G695" s="53"/>
    </row>
    <row r="696" ht="15.75" customHeight="1">
      <c r="A696" s="53"/>
      <c r="B696" s="53"/>
      <c r="C696" s="53"/>
      <c r="D696" s="53"/>
      <c r="E696" s="53"/>
      <c r="F696" s="53"/>
      <c r="G696" s="53"/>
    </row>
    <row r="697" ht="15.75" customHeight="1">
      <c r="A697" s="53"/>
      <c r="B697" s="53"/>
      <c r="C697" s="53"/>
      <c r="D697" s="53"/>
      <c r="E697" s="53"/>
      <c r="F697" s="53"/>
      <c r="G697" s="53"/>
    </row>
    <row r="698" ht="15.75" customHeight="1">
      <c r="A698" s="53"/>
      <c r="B698" s="53"/>
      <c r="C698" s="53"/>
      <c r="D698" s="53"/>
      <c r="E698" s="53"/>
      <c r="F698" s="53"/>
      <c r="G698" s="53"/>
    </row>
    <row r="699" ht="15.75" customHeight="1">
      <c r="A699" s="53"/>
      <c r="B699" s="53"/>
      <c r="C699" s="53"/>
      <c r="D699" s="53"/>
      <c r="E699" s="53"/>
      <c r="F699" s="53"/>
      <c r="G699" s="53"/>
    </row>
    <row r="700" ht="15.75" customHeight="1">
      <c r="A700" s="53"/>
      <c r="B700" s="53"/>
      <c r="C700" s="53"/>
      <c r="D700" s="53"/>
      <c r="E700" s="53"/>
      <c r="F700" s="53"/>
      <c r="G700" s="53"/>
    </row>
    <row r="701" ht="15.75" customHeight="1">
      <c r="A701" s="53"/>
      <c r="B701" s="53"/>
      <c r="C701" s="53"/>
      <c r="D701" s="53"/>
      <c r="E701" s="53"/>
      <c r="F701" s="53"/>
      <c r="G701" s="53"/>
    </row>
    <row r="702" ht="15.75" customHeight="1">
      <c r="A702" s="53"/>
      <c r="B702" s="53"/>
      <c r="C702" s="53"/>
      <c r="D702" s="53"/>
      <c r="E702" s="53"/>
      <c r="F702" s="53"/>
      <c r="G702" s="53"/>
    </row>
    <row r="703" ht="15.75" customHeight="1">
      <c r="A703" s="53"/>
      <c r="B703" s="53"/>
      <c r="C703" s="53"/>
      <c r="D703" s="53"/>
      <c r="E703" s="53"/>
      <c r="F703" s="53"/>
      <c r="G703" s="53"/>
    </row>
    <row r="704" ht="15.75" customHeight="1">
      <c r="A704" s="53"/>
      <c r="B704" s="53"/>
      <c r="C704" s="53"/>
      <c r="D704" s="53"/>
      <c r="E704" s="53"/>
      <c r="F704" s="53"/>
      <c r="G704" s="53"/>
    </row>
    <row r="705" ht="15.75" customHeight="1">
      <c r="A705" s="53"/>
      <c r="B705" s="53"/>
      <c r="C705" s="53"/>
      <c r="D705" s="53"/>
      <c r="E705" s="53"/>
      <c r="F705" s="53"/>
      <c r="G705" s="53"/>
    </row>
    <row r="706" ht="15.75" customHeight="1">
      <c r="A706" s="53"/>
      <c r="B706" s="53"/>
      <c r="C706" s="53"/>
      <c r="D706" s="53"/>
      <c r="E706" s="53"/>
      <c r="F706" s="53"/>
      <c r="G706" s="53"/>
    </row>
    <row r="707" ht="15.75" customHeight="1">
      <c r="A707" s="53"/>
      <c r="B707" s="53"/>
      <c r="C707" s="53"/>
      <c r="D707" s="53"/>
      <c r="E707" s="53"/>
      <c r="F707" s="53"/>
      <c r="G707" s="53"/>
    </row>
    <row r="708" ht="15.75" customHeight="1">
      <c r="A708" s="53"/>
      <c r="B708" s="53"/>
      <c r="C708" s="53"/>
      <c r="D708" s="53"/>
      <c r="E708" s="53"/>
      <c r="F708" s="53"/>
      <c r="G708" s="53"/>
    </row>
    <row r="709" ht="15.75" customHeight="1">
      <c r="A709" s="53"/>
      <c r="B709" s="53"/>
      <c r="C709" s="53"/>
      <c r="D709" s="53"/>
      <c r="E709" s="53"/>
      <c r="F709" s="53"/>
      <c r="G709" s="53"/>
    </row>
    <row r="710" ht="15.75" customHeight="1">
      <c r="A710" s="53"/>
      <c r="B710" s="53"/>
      <c r="C710" s="53"/>
      <c r="D710" s="53"/>
      <c r="E710" s="53"/>
      <c r="F710" s="53"/>
      <c r="G710" s="53"/>
    </row>
    <row r="711" ht="15.75" customHeight="1">
      <c r="A711" s="53"/>
      <c r="B711" s="53"/>
      <c r="C711" s="53"/>
      <c r="D711" s="53"/>
      <c r="E711" s="53"/>
      <c r="F711" s="53"/>
      <c r="G711" s="53"/>
    </row>
    <row r="712" ht="15.75" customHeight="1">
      <c r="A712" s="53"/>
      <c r="B712" s="53"/>
      <c r="C712" s="53"/>
      <c r="D712" s="53"/>
      <c r="E712" s="53"/>
      <c r="F712" s="53"/>
      <c r="G712" s="53"/>
    </row>
    <row r="713" ht="15.75" customHeight="1">
      <c r="A713" s="53"/>
      <c r="B713" s="53"/>
      <c r="C713" s="53"/>
      <c r="D713" s="53"/>
      <c r="E713" s="53"/>
      <c r="F713" s="53"/>
      <c r="G713" s="53"/>
    </row>
    <row r="714" ht="15.75" customHeight="1">
      <c r="A714" s="53"/>
      <c r="B714" s="53"/>
      <c r="C714" s="53"/>
      <c r="D714" s="53"/>
      <c r="E714" s="53"/>
      <c r="F714" s="53"/>
      <c r="G714" s="53"/>
    </row>
    <row r="715" ht="15.75" customHeight="1">
      <c r="A715" s="53"/>
      <c r="B715" s="53"/>
      <c r="C715" s="53"/>
      <c r="D715" s="53"/>
      <c r="E715" s="53"/>
      <c r="F715" s="53"/>
      <c r="G715" s="53"/>
    </row>
    <row r="716" ht="15.75" customHeight="1">
      <c r="A716" s="53"/>
      <c r="B716" s="53"/>
      <c r="C716" s="53"/>
      <c r="D716" s="53"/>
      <c r="E716" s="53"/>
      <c r="F716" s="53"/>
      <c r="G716" s="53"/>
    </row>
    <row r="717" ht="15.75" customHeight="1">
      <c r="A717" s="53"/>
      <c r="B717" s="53"/>
      <c r="C717" s="53"/>
      <c r="D717" s="53"/>
      <c r="E717" s="53"/>
      <c r="F717" s="53"/>
      <c r="G717" s="53"/>
    </row>
    <row r="718" ht="15.75" customHeight="1">
      <c r="A718" s="53"/>
      <c r="B718" s="53"/>
      <c r="C718" s="53"/>
      <c r="D718" s="53"/>
      <c r="E718" s="53"/>
      <c r="F718" s="53"/>
      <c r="G718" s="53"/>
    </row>
    <row r="719" ht="15.75" customHeight="1">
      <c r="A719" s="53"/>
      <c r="B719" s="53"/>
      <c r="C719" s="53"/>
      <c r="D719" s="53"/>
      <c r="E719" s="53"/>
      <c r="F719" s="53"/>
      <c r="G719" s="53"/>
    </row>
    <row r="720" ht="15.75" customHeight="1">
      <c r="A720" s="53"/>
      <c r="B720" s="53"/>
      <c r="C720" s="53"/>
      <c r="D720" s="53"/>
      <c r="E720" s="53"/>
      <c r="F720" s="53"/>
      <c r="G720" s="53"/>
    </row>
    <row r="721" ht="15.75" customHeight="1">
      <c r="A721" s="53"/>
      <c r="B721" s="53"/>
      <c r="C721" s="53"/>
      <c r="D721" s="53"/>
      <c r="E721" s="53"/>
      <c r="F721" s="53"/>
      <c r="G721" s="53"/>
    </row>
    <row r="722" ht="15.75" customHeight="1">
      <c r="A722" s="53"/>
      <c r="B722" s="53"/>
      <c r="C722" s="53"/>
      <c r="D722" s="53"/>
      <c r="E722" s="53"/>
      <c r="F722" s="53"/>
      <c r="G722" s="53"/>
    </row>
    <row r="723" ht="15.75" customHeight="1">
      <c r="A723" s="53"/>
      <c r="B723" s="53"/>
      <c r="C723" s="53"/>
      <c r="D723" s="53"/>
      <c r="E723" s="53"/>
      <c r="F723" s="53"/>
      <c r="G723" s="53"/>
    </row>
    <row r="724" ht="15.75" customHeight="1">
      <c r="A724" s="53"/>
      <c r="B724" s="53"/>
      <c r="C724" s="53"/>
      <c r="D724" s="53"/>
      <c r="E724" s="53"/>
      <c r="F724" s="53"/>
      <c r="G724" s="53"/>
    </row>
    <row r="725" ht="15.75" customHeight="1">
      <c r="A725" s="53"/>
      <c r="B725" s="53"/>
      <c r="C725" s="53"/>
      <c r="D725" s="53"/>
      <c r="E725" s="53"/>
      <c r="F725" s="53"/>
      <c r="G725" s="53"/>
    </row>
    <row r="726" ht="15.75" customHeight="1">
      <c r="A726" s="53"/>
      <c r="B726" s="53"/>
      <c r="C726" s="53"/>
      <c r="D726" s="53"/>
      <c r="E726" s="53"/>
      <c r="F726" s="53"/>
      <c r="G726" s="53"/>
    </row>
    <row r="727" ht="15.75" customHeight="1">
      <c r="A727" s="53"/>
      <c r="B727" s="53"/>
      <c r="C727" s="53"/>
      <c r="D727" s="53"/>
      <c r="E727" s="53"/>
      <c r="F727" s="53"/>
      <c r="G727" s="53"/>
    </row>
    <row r="728" ht="15.75" customHeight="1">
      <c r="A728" s="53"/>
      <c r="B728" s="53"/>
      <c r="C728" s="53"/>
      <c r="D728" s="53"/>
      <c r="E728" s="53"/>
      <c r="F728" s="53"/>
      <c r="G728" s="53"/>
    </row>
    <row r="729" ht="15.75" customHeight="1">
      <c r="A729" s="53"/>
      <c r="B729" s="53"/>
      <c r="C729" s="53"/>
      <c r="D729" s="53"/>
      <c r="E729" s="53"/>
      <c r="F729" s="53"/>
      <c r="G729" s="53"/>
    </row>
    <row r="730" ht="15.75" customHeight="1">
      <c r="A730" s="53"/>
      <c r="B730" s="53"/>
      <c r="C730" s="53"/>
      <c r="D730" s="53"/>
      <c r="E730" s="53"/>
      <c r="F730" s="53"/>
      <c r="G730" s="53"/>
    </row>
    <row r="731" ht="15.75" customHeight="1">
      <c r="A731" s="53"/>
      <c r="B731" s="53"/>
      <c r="C731" s="53"/>
      <c r="D731" s="53"/>
      <c r="E731" s="53"/>
      <c r="F731" s="53"/>
      <c r="G731" s="53"/>
    </row>
    <row r="732" ht="15.75" customHeight="1">
      <c r="A732" s="53"/>
      <c r="B732" s="53"/>
      <c r="C732" s="53"/>
      <c r="D732" s="53"/>
      <c r="E732" s="53"/>
      <c r="F732" s="53"/>
      <c r="G732" s="53"/>
    </row>
    <row r="733" ht="15.75" customHeight="1">
      <c r="A733" s="53"/>
      <c r="B733" s="53"/>
      <c r="C733" s="53"/>
      <c r="D733" s="53"/>
      <c r="E733" s="53"/>
      <c r="F733" s="53"/>
      <c r="G733" s="53"/>
    </row>
    <row r="734" ht="15.75" customHeight="1">
      <c r="A734" s="53"/>
      <c r="B734" s="53"/>
      <c r="C734" s="53"/>
      <c r="D734" s="53"/>
      <c r="E734" s="53"/>
      <c r="F734" s="53"/>
      <c r="G734" s="53"/>
    </row>
    <row r="735" ht="15.75" customHeight="1">
      <c r="A735" s="53"/>
      <c r="B735" s="53"/>
      <c r="C735" s="53"/>
      <c r="D735" s="53"/>
      <c r="E735" s="53"/>
      <c r="F735" s="53"/>
      <c r="G735" s="53"/>
    </row>
    <row r="736" ht="15.75" customHeight="1">
      <c r="A736" s="53"/>
      <c r="B736" s="53"/>
      <c r="C736" s="53"/>
      <c r="D736" s="53"/>
      <c r="E736" s="53"/>
      <c r="F736" s="53"/>
      <c r="G736" s="53"/>
    </row>
    <row r="737" ht="15.75" customHeight="1">
      <c r="A737" s="53"/>
      <c r="B737" s="53"/>
      <c r="C737" s="53"/>
      <c r="D737" s="53"/>
      <c r="E737" s="53"/>
      <c r="F737" s="53"/>
      <c r="G737" s="53"/>
    </row>
    <row r="738" ht="15.75" customHeight="1">
      <c r="A738" s="53"/>
      <c r="B738" s="53"/>
      <c r="C738" s="53"/>
      <c r="D738" s="53"/>
      <c r="E738" s="53"/>
      <c r="F738" s="53"/>
      <c r="G738" s="53"/>
    </row>
    <row r="739" ht="15.75" customHeight="1">
      <c r="A739" s="53"/>
      <c r="B739" s="53"/>
      <c r="C739" s="53"/>
      <c r="D739" s="53"/>
      <c r="E739" s="53"/>
      <c r="F739" s="53"/>
      <c r="G739" s="53"/>
    </row>
    <row r="740" ht="15.75" customHeight="1">
      <c r="A740" s="53"/>
      <c r="B740" s="53"/>
      <c r="C740" s="53"/>
      <c r="D740" s="53"/>
      <c r="E740" s="53"/>
      <c r="F740" s="53"/>
      <c r="G740" s="53"/>
    </row>
    <row r="741" ht="15.75" customHeight="1">
      <c r="A741" s="53"/>
      <c r="B741" s="53"/>
      <c r="C741" s="53"/>
      <c r="D741" s="53"/>
      <c r="E741" s="53"/>
      <c r="F741" s="53"/>
      <c r="G741" s="53"/>
    </row>
    <row r="742" ht="15.75" customHeight="1">
      <c r="A742" s="53"/>
      <c r="B742" s="53"/>
      <c r="C742" s="53"/>
      <c r="D742" s="53"/>
      <c r="E742" s="53"/>
      <c r="F742" s="53"/>
      <c r="G742" s="53"/>
    </row>
    <row r="743" ht="15.75" customHeight="1">
      <c r="A743" s="53"/>
      <c r="B743" s="53"/>
      <c r="C743" s="53"/>
      <c r="D743" s="53"/>
      <c r="E743" s="53"/>
      <c r="F743" s="53"/>
      <c r="G743" s="53"/>
    </row>
    <row r="744" ht="15.75" customHeight="1">
      <c r="A744" s="53"/>
      <c r="B744" s="53"/>
      <c r="C744" s="53"/>
      <c r="D744" s="53"/>
      <c r="E744" s="53"/>
      <c r="F744" s="53"/>
      <c r="G744" s="53"/>
    </row>
    <row r="745" ht="15.75" customHeight="1">
      <c r="A745" s="53"/>
      <c r="B745" s="53"/>
      <c r="C745" s="53"/>
      <c r="D745" s="53"/>
      <c r="E745" s="53"/>
      <c r="F745" s="53"/>
      <c r="G745" s="53"/>
    </row>
    <row r="746" ht="15.75" customHeight="1">
      <c r="A746" s="53"/>
      <c r="B746" s="53"/>
      <c r="C746" s="53"/>
      <c r="D746" s="53"/>
      <c r="E746" s="53"/>
      <c r="F746" s="53"/>
      <c r="G746" s="53"/>
    </row>
    <row r="747" ht="15.75" customHeight="1">
      <c r="A747" s="53"/>
      <c r="B747" s="53"/>
      <c r="C747" s="53"/>
      <c r="D747" s="53"/>
      <c r="E747" s="53"/>
      <c r="F747" s="53"/>
      <c r="G747" s="53"/>
    </row>
    <row r="748" ht="15.75" customHeight="1">
      <c r="A748" s="53"/>
      <c r="B748" s="53"/>
      <c r="C748" s="53"/>
      <c r="D748" s="53"/>
      <c r="E748" s="53"/>
      <c r="F748" s="53"/>
      <c r="G748" s="53"/>
    </row>
    <row r="749" ht="15.75" customHeight="1">
      <c r="A749" s="53"/>
      <c r="B749" s="53"/>
      <c r="C749" s="53"/>
      <c r="D749" s="53"/>
      <c r="E749" s="53"/>
      <c r="F749" s="53"/>
      <c r="G749" s="53"/>
    </row>
    <row r="750" ht="15.75" customHeight="1">
      <c r="A750" s="53"/>
      <c r="B750" s="53"/>
      <c r="C750" s="53"/>
      <c r="D750" s="53"/>
      <c r="E750" s="53"/>
      <c r="F750" s="53"/>
      <c r="G750" s="53"/>
    </row>
    <row r="751" ht="15.75" customHeight="1">
      <c r="A751" s="53"/>
      <c r="B751" s="53"/>
      <c r="C751" s="53"/>
      <c r="D751" s="53"/>
      <c r="E751" s="53"/>
      <c r="F751" s="53"/>
      <c r="G751" s="53"/>
    </row>
    <row r="752" ht="15.75" customHeight="1">
      <c r="A752" s="53"/>
      <c r="B752" s="53"/>
      <c r="C752" s="53"/>
      <c r="D752" s="53"/>
      <c r="E752" s="53"/>
      <c r="F752" s="53"/>
      <c r="G752" s="53"/>
    </row>
    <row r="753" ht="15.75" customHeight="1">
      <c r="A753" s="53"/>
      <c r="B753" s="53"/>
      <c r="C753" s="53"/>
      <c r="D753" s="53"/>
      <c r="E753" s="53"/>
      <c r="F753" s="53"/>
      <c r="G753" s="53"/>
    </row>
    <row r="754" ht="15.75" customHeight="1">
      <c r="A754" s="53"/>
      <c r="B754" s="53"/>
      <c r="C754" s="53"/>
      <c r="D754" s="53"/>
      <c r="E754" s="53"/>
      <c r="F754" s="53"/>
      <c r="G754" s="53"/>
    </row>
    <row r="755" ht="15.75" customHeight="1">
      <c r="A755" s="53"/>
      <c r="B755" s="53"/>
      <c r="C755" s="53"/>
      <c r="D755" s="53"/>
      <c r="E755" s="53"/>
      <c r="F755" s="53"/>
      <c r="G755" s="53"/>
    </row>
    <row r="756" ht="15.75" customHeight="1">
      <c r="A756" s="53"/>
      <c r="B756" s="53"/>
      <c r="C756" s="53"/>
      <c r="D756" s="53"/>
      <c r="E756" s="53"/>
      <c r="F756" s="53"/>
      <c r="G756" s="53"/>
    </row>
    <row r="757" ht="15.75" customHeight="1">
      <c r="A757" s="53"/>
      <c r="B757" s="53"/>
      <c r="C757" s="53"/>
      <c r="D757" s="53"/>
      <c r="E757" s="53"/>
      <c r="F757" s="53"/>
      <c r="G757" s="53"/>
    </row>
    <row r="758" ht="15.75" customHeight="1">
      <c r="A758" s="53"/>
      <c r="B758" s="53"/>
      <c r="C758" s="53"/>
      <c r="D758" s="53"/>
      <c r="E758" s="53"/>
      <c r="F758" s="53"/>
      <c r="G758" s="53"/>
    </row>
    <row r="759" ht="15.75" customHeight="1">
      <c r="A759" s="53"/>
      <c r="B759" s="53"/>
      <c r="C759" s="53"/>
      <c r="D759" s="53"/>
      <c r="E759" s="53"/>
      <c r="F759" s="53"/>
      <c r="G759" s="53"/>
    </row>
    <row r="760" ht="15.75" customHeight="1">
      <c r="A760" s="53"/>
      <c r="B760" s="53"/>
      <c r="C760" s="53"/>
      <c r="D760" s="53"/>
      <c r="E760" s="53"/>
      <c r="F760" s="53"/>
      <c r="G760" s="53"/>
    </row>
    <row r="761" ht="15.75" customHeight="1">
      <c r="A761" s="53"/>
      <c r="B761" s="53"/>
      <c r="C761" s="53"/>
      <c r="D761" s="53"/>
      <c r="E761" s="53"/>
      <c r="F761" s="53"/>
      <c r="G761" s="53"/>
    </row>
    <row r="762" ht="15.75" customHeight="1">
      <c r="A762" s="53"/>
      <c r="B762" s="53"/>
      <c r="C762" s="53"/>
      <c r="D762" s="53"/>
      <c r="E762" s="53"/>
      <c r="F762" s="53"/>
      <c r="G762" s="53"/>
    </row>
    <row r="763" ht="15.75" customHeight="1">
      <c r="A763" s="53"/>
      <c r="B763" s="53"/>
      <c r="C763" s="53"/>
      <c r="D763" s="53"/>
      <c r="E763" s="53"/>
      <c r="F763" s="53"/>
      <c r="G763" s="53"/>
    </row>
    <row r="764" ht="15.75" customHeight="1">
      <c r="A764" s="53"/>
      <c r="B764" s="53"/>
      <c r="C764" s="53"/>
      <c r="D764" s="53"/>
      <c r="E764" s="53"/>
      <c r="F764" s="53"/>
      <c r="G764" s="53"/>
    </row>
    <row r="765" ht="15.75" customHeight="1">
      <c r="A765" s="53"/>
      <c r="B765" s="53"/>
      <c r="C765" s="53"/>
      <c r="D765" s="53"/>
      <c r="E765" s="53"/>
      <c r="F765" s="53"/>
      <c r="G765" s="53"/>
    </row>
    <row r="766" ht="15.75" customHeight="1">
      <c r="A766" s="53"/>
      <c r="B766" s="53"/>
      <c r="C766" s="53"/>
      <c r="D766" s="53"/>
      <c r="E766" s="53"/>
      <c r="F766" s="53"/>
      <c r="G766" s="53"/>
    </row>
    <row r="767" ht="15.75" customHeight="1">
      <c r="A767" s="53"/>
      <c r="B767" s="53"/>
      <c r="C767" s="53"/>
      <c r="D767" s="53"/>
      <c r="E767" s="53"/>
      <c r="F767" s="53"/>
      <c r="G767" s="53"/>
    </row>
    <row r="768" ht="15.75" customHeight="1">
      <c r="A768" s="53"/>
      <c r="B768" s="53"/>
      <c r="C768" s="53"/>
      <c r="D768" s="53"/>
      <c r="E768" s="53"/>
      <c r="F768" s="53"/>
      <c r="G768" s="53"/>
    </row>
    <row r="769" ht="15.75" customHeight="1">
      <c r="A769" s="53"/>
      <c r="B769" s="53"/>
      <c r="C769" s="53"/>
      <c r="D769" s="53"/>
      <c r="E769" s="53"/>
      <c r="F769" s="53"/>
      <c r="G769" s="53"/>
    </row>
    <row r="770" ht="15.75" customHeight="1">
      <c r="A770" s="53"/>
      <c r="B770" s="53"/>
      <c r="C770" s="53"/>
      <c r="D770" s="53"/>
      <c r="E770" s="53"/>
      <c r="F770" s="53"/>
      <c r="G770" s="53"/>
    </row>
    <row r="771" ht="15.75" customHeight="1">
      <c r="A771" s="53"/>
      <c r="B771" s="53"/>
      <c r="C771" s="53"/>
      <c r="D771" s="53"/>
      <c r="E771" s="53"/>
      <c r="F771" s="53"/>
      <c r="G771" s="53"/>
    </row>
    <row r="772" ht="15.75" customHeight="1">
      <c r="A772" s="53"/>
      <c r="B772" s="53"/>
      <c r="C772" s="53"/>
      <c r="D772" s="53"/>
      <c r="E772" s="53"/>
      <c r="F772" s="53"/>
      <c r="G772" s="53"/>
    </row>
    <row r="773" ht="15.75" customHeight="1">
      <c r="A773" s="53"/>
      <c r="B773" s="53"/>
      <c r="C773" s="53"/>
      <c r="D773" s="53"/>
      <c r="E773" s="53"/>
      <c r="F773" s="53"/>
      <c r="G773" s="53"/>
    </row>
    <row r="774" ht="15.75" customHeight="1">
      <c r="A774" s="53"/>
      <c r="B774" s="53"/>
      <c r="C774" s="53"/>
      <c r="D774" s="53"/>
      <c r="E774" s="53"/>
      <c r="F774" s="53"/>
      <c r="G774" s="53"/>
    </row>
    <row r="775" ht="15.75" customHeight="1">
      <c r="A775" s="53"/>
      <c r="B775" s="53"/>
      <c r="C775" s="53"/>
      <c r="D775" s="53"/>
      <c r="E775" s="53"/>
      <c r="F775" s="53"/>
      <c r="G775" s="53"/>
    </row>
    <row r="776" ht="15.75" customHeight="1">
      <c r="A776" s="53"/>
      <c r="B776" s="53"/>
      <c r="C776" s="53"/>
      <c r="D776" s="53"/>
      <c r="E776" s="53"/>
      <c r="F776" s="53"/>
      <c r="G776" s="53"/>
    </row>
    <row r="777" ht="15.75" customHeight="1">
      <c r="A777" s="53"/>
      <c r="B777" s="53"/>
      <c r="C777" s="53"/>
      <c r="D777" s="53"/>
      <c r="E777" s="53"/>
      <c r="F777" s="53"/>
      <c r="G777" s="53"/>
    </row>
    <row r="778" ht="15.75" customHeight="1">
      <c r="A778" s="53"/>
      <c r="B778" s="53"/>
      <c r="C778" s="53"/>
      <c r="D778" s="53"/>
      <c r="E778" s="53"/>
      <c r="F778" s="53"/>
      <c r="G778" s="53"/>
    </row>
    <row r="779" ht="15.75" customHeight="1">
      <c r="A779" s="53"/>
      <c r="B779" s="53"/>
      <c r="C779" s="53"/>
      <c r="D779" s="53"/>
      <c r="E779" s="53"/>
      <c r="F779" s="53"/>
      <c r="G779" s="53"/>
    </row>
    <row r="780" ht="15.75" customHeight="1">
      <c r="A780" s="53"/>
      <c r="B780" s="53"/>
      <c r="C780" s="53"/>
      <c r="D780" s="53"/>
      <c r="E780" s="53"/>
      <c r="F780" s="53"/>
      <c r="G780" s="53"/>
    </row>
    <row r="781" ht="15.75" customHeight="1">
      <c r="A781" s="53"/>
      <c r="B781" s="53"/>
      <c r="C781" s="53"/>
      <c r="D781" s="53"/>
      <c r="E781" s="53"/>
      <c r="F781" s="53"/>
      <c r="G781" s="53"/>
    </row>
    <row r="782" ht="15.75" customHeight="1">
      <c r="A782" s="53"/>
      <c r="B782" s="53"/>
      <c r="C782" s="53"/>
      <c r="D782" s="53"/>
      <c r="E782" s="53"/>
      <c r="F782" s="53"/>
      <c r="G782" s="53"/>
    </row>
    <row r="783" ht="15.75" customHeight="1">
      <c r="A783" s="53"/>
      <c r="B783" s="53"/>
      <c r="C783" s="53"/>
      <c r="D783" s="53"/>
      <c r="E783" s="53"/>
      <c r="F783" s="53"/>
      <c r="G783" s="53"/>
    </row>
    <row r="784" ht="15.75" customHeight="1">
      <c r="A784" s="53"/>
      <c r="B784" s="53"/>
      <c r="C784" s="53"/>
      <c r="D784" s="53"/>
      <c r="E784" s="53"/>
      <c r="F784" s="53"/>
      <c r="G784" s="53"/>
    </row>
    <row r="785" ht="15.75" customHeight="1">
      <c r="A785" s="53"/>
      <c r="B785" s="53"/>
      <c r="C785" s="53"/>
      <c r="D785" s="53"/>
      <c r="E785" s="53"/>
      <c r="F785" s="53"/>
      <c r="G785" s="53"/>
    </row>
    <row r="786" ht="15.75" customHeight="1">
      <c r="A786" s="53"/>
      <c r="B786" s="53"/>
      <c r="C786" s="53"/>
      <c r="D786" s="53"/>
      <c r="E786" s="53"/>
      <c r="F786" s="53"/>
      <c r="G786" s="53"/>
    </row>
    <row r="787" ht="15.75" customHeight="1">
      <c r="A787" s="53"/>
      <c r="B787" s="53"/>
      <c r="C787" s="53"/>
      <c r="D787" s="53"/>
      <c r="E787" s="53"/>
      <c r="F787" s="53"/>
      <c r="G787" s="53"/>
    </row>
    <row r="788" ht="15.75" customHeight="1">
      <c r="A788" s="53"/>
      <c r="B788" s="53"/>
      <c r="C788" s="53"/>
      <c r="D788" s="53"/>
      <c r="E788" s="53"/>
      <c r="F788" s="53"/>
      <c r="G788" s="53"/>
    </row>
    <row r="789" ht="15.75" customHeight="1">
      <c r="A789" s="53"/>
      <c r="B789" s="53"/>
      <c r="C789" s="53"/>
      <c r="D789" s="53"/>
      <c r="E789" s="53"/>
      <c r="F789" s="53"/>
      <c r="G789" s="53"/>
    </row>
    <row r="790" ht="15.75" customHeight="1">
      <c r="A790" s="53"/>
      <c r="B790" s="53"/>
      <c r="C790" s="53"/>
      <c r="D790" s="53"/>
      <c r="E790" s="53"/>
      <c r="F790" s="53"/>
      <c r="G790" s="53"/>
    </row>
    <row r="791" ht="15.75" customHeight="1">
      <c r="A791" s="53"/>
      <c r="B791" s="53"/>
      <c r="C791" s="53"/>
      <c r="D791" s="53"/>
      <c r="E791" s="53"/>
      <c r="F791" s="53"/>
      <c r="G791" s="53"/>
    </row>
    <row r="792" ht="15.75" customHeight="1">
      <c r="A792" s="53"/>
      <c r="B792" s="53"/>
      <c r="C792" s="53"/>
      <c r="D792" s="53"/>
      <c r="E792" s="53"/>
      <c r="F792" s="53"/>
      <c r="G792" s="53"/>
    </row>
    <row r="793" ht="15.75" customHeight="1">
      <c r="A793" s="53"/>
      <c r="B793" s="53"/>
      <c r="C793" s="53"/>
      <c r="D793" s="53"/>
      <c r="E793" s="53"/>
      <c r="F793" s="53"/>
      <c r="G793" s="53"/>
    </row>
    <row r="794" ht="15.75" customHeight="1">
      <c r="A794" s="53"/>
      <c r="B794" s="53"/>
      <c r="C794" s="53"/>
      <c r="D794" s="53"/>
      <c r="E794" s="53"/>
      <c r="F794" s="53"/>
      <c r="G794" s="53"/>
    </row>
    <row r="795" ht="15.75" customHeight="1">
      <c r="A795" s="53"/>
      <c r="B795" s="53"/>
      <c r="C795" s="53"/>
      <c r="D795" s="53"/>
      <c r="E795" s="53"/>
      <c r="F795" s="53"/>
      <c r="G795" s="53"/>
    </row>
    <row r="796" ht="15.75" customHeight="1">
      <c r="A796" s="53"/>
      <c r="B796" s="53"/>
      <c r="C796" s="53"/>
      <c r="D796" s="53"/>
      <c r="E796" s="53"/>
      <c r="F796" s="53"/>
      <c r="G796" s="53"/>
    </row>
    <row r="797" ht="15.75" customHeight="1">
      <c r="A797" s="53"/>
      <c r="B797" s="53"/>
      <c r="C797" s="53"/>
      <c r="D797" s="53"/>
      <c r="E797" s="53"/>
      <c r="F797" s="53"/>
      <c r="G797" s="53"/>
    </row>
    <row r="798" ht="15.75" customHeight="1">
      <c r="A798" s="53"/>
      <c r="B798" s="53"/>
      <c r="C798" s="53"/>
      <c r="D798" s="53"/>
      <c r="E798" s="53"/>
      <c r="F798" s="53"/>
      <c r="G798" s="53"/>
    </row>
    <row r="799" ht="15.75" customHeight="1">
      <c r="A799" s="53"/>
      <c r="B799" s="53"/>
      <c r="C799" s="53"/>
      <c r="D799" s="53"/>
      <c r="E799" s="53"/>
      <c r="F799" s="53"/>
      <c r="G799" s="53"/>
    </row>
    <row r="800" ht="15.75" customHeight="1">
      <c r="A800" s="53"/>
      <c r="B800" s="53"/>
      <c r="C800" s="53"/>
      <c r="D800" s="53"/>
      <c r="E800" s="53"/>
      <c r="F800" s="53"/>
      <c r="G800" s="53"/>
    </row>
    <row r="801" ht="15.75" customHeight="1">
      <c r="A801" s="53"/>
      <c r="B801" s="53"/>
      <c r="C801" s="53"/>
      <c r="D801" s="53"/>
      <c r="E801" s="53"/>
      <c r="F801" s="53"/>
      <c r="G801" s="53"/>
    </row>
    <row r="802" ht="15.75" customHeight="1">
      <c r="A802" s="53"/>
      <c r="B802" s="53"/>
      <c r="C802" s="53"/>
      <c r="D802" s="53"/>
      <c r="E802" s="53"/>
      <c r="F802" s="53"/>
      <c r="G802" s="53"/>
    </row>
    <row r="803" ht="15.75" customHeight="1">
      <c r="A803" s="53"/>
      <c r="B803" s="53"/>
      <c r="C803" s="53"/>
      <c r="D803" s="53"/>
      <c r="E803" s="53"/>
      <c r="F803" s="53"/>
      <c r="G803" s="53"/>
    </row>
    <row r="804" ht="15.75" customHeight="1">
      <c r="A804" s="53"/>
      <c r="B804" s="53"/>
      <c r="C804" s="53"/>
      <c r="D804" s="53"/>
      <c r="E804" s="53"/>
      <c r="F804" s="53"/>
      <c r="G804" s="53"/>
    </row>
    <row r="805" ht="15.75" customHeight="1">
      <c r="A805" s="53"/>
      <c r="B805" s="53"/>
      <c r="C805" s="53"/>
      <c r="D805" s="53"/>
      <c r="E805" s="53"/>
      <c r="F805" s="53"/>
      <c r="G805" s="53"/>
    </row>
    <row r="806" ht="15.75" customHeight="1">
      <c r="A806" s="53"/>
      <c r="B806" s="53"/>
      <c r="C806" s="53"/>
      <c r="D806" s="53"/>
      <c r="E806" s="53"/>
      <c r="F806" s="53"/>
      <c r="G806" s="53"/>
    </row>
    <row r="807" ht="15.75" customHeight="1">
      <c r="A807" s="53"/>
      <c r="B807" s="53"/>
      <c r="C807" s="53"/>
      <c r="D807" s="53"/>
      <c r="E807" s="53"/>
      <c r="F807" s="53"/>
      <c r="G807" s="53"/>
    </row>
    <row r="808" ht="15.75" customHeight="1">
      <c r="A808" s="53"/>
      <c r="B808" s="53"/>
      <c r="C808" s="53"/>
      <c r="D808" s="53"/>
      <c r="E808" s="53"/>
      <c r="F808" s="53"/>
      <c r="G808" s="53"/>
    </row>
    <row r="809" ht="15.75" customHeight="1">
      <c r="A809" s="53"/>
      <c r="B809" s="53"/>
      <c r="C809" s="53"/>
      <c r="D809" s="53"/>
      <c r="E809" s="53"/>
      <c r="F809" s="53"/>
      <c r="G809" s="53"/>
    </row>
    <row r="810" ht="15.75" customHeight="1">
      <c r="A810" s="53"/>
      <c r="B810" s="53"/>
      <c r="C810" s="53"/>
      <c r="D810" s="53"/>
      <c r="E810" s="53"/>
      <c r="F810" s="53"/>
      <c r="G810" s="53"/>
    </row>
    <row r="811" ht="15.75" customHeight="1">
      <c r="A811" s="53"/>
      <c r="B811" s="53"/>
      <c r="C811" s="53"/>
      <c r="D811" s="53"/>
      <c r="E811" s="53"/>
      <c r="F811" s="53"/>
      <c r="G811" s="53"/>
    </row>
    <row r="812" ht="15.75" customHeight="1">
      <c r="A812" s="53"/>
      <c r="B812" s="53"/>
      <c r="C812" s="53"/>
      <c r="D812" s="53"/>
      <c r="E812" s="53"/>
      <c r="F812" s="53"/>
      <c r="G812" s="53"/>
    </row>
    <row r="813" ht="15.75" customHeight="1">
      <c r="A813" s="53"/>
      <c r="B813" s="53"/>
      <c r="C813" s="53"/>
      <c r="D813" s="53"/>
      <c r="E813" s="53"/>
      <c r="F813" s="53"/>
      <c r="G813" s="53"/>
    </row>
    <row r="814" ht="15.75" customHeight="1">
      <c r="A814" s="53"/>
      <c r="B814" s="53"/>
      <c r="C814" s="53"/>
      <c r="D814" s="53"/>
      <c r="E814" s="53"/>
      <c r="F814" s="53"/>
      <c r="G814" s="53"/>
    </row>
    <row r="815" ht="15.75" customHeight="1">
      <c r="A815" s="53"/>
      <c r="B815" s="53"/>
      <c r="C815" s="53"/>
      <c r="D815" s="53"/>
      <c r="E815" s="53"/>
      <c r="F815" s="53"/>
      <c r="G815" s="53"/>
    </row>
    <row r="816" ht="15.75" customHeight="1">
      <c r="A816" s="53"/>
      <c r="B816" s="53"/>
      <c r="C816" s="53"/>
      <c r="D816" s="53"/>
      <c r="E816" s="53"/>
      <c r="F816" s="53"/>
      <c r="G816" s="53"/>
    </row>
    <row r="817" ht="15.75" customHeight="1">
      <c r="A817" s="53"/>
      <c r="B817" s="53"/>
      <c r="C817" s="53"/>
      <c r="D817" s="53"/>
      <c r="E817" s="53"/>
      <c r="F817" s="53"/>
      <c r="G817" s="53"/>
    </row>
    <row r="818" ht="15.75" customHeight="1">
      <c r="A818" s="53"/>
      <c r="B818" s="53"/>
      <c r="C818" s="53"/>
      <c r="D818" s="53"/>
      <c r="E818" s="53"/>
      <c r="F818" s="53"/>
      <c r="G818" s="53"/>
    </row>
    <row r="819" ht="15.75" customHeight="1">
      <c r="A819" s="53"/>
      <c r="B819" s="53"/>
      <c r="C819" s="53"/>
      <c r="D819" s="53"/>
      <c r="E819" s="53"/>
      <c r="F819" s="53"/>
      <c r="G819" s="53"/>
    </row>
    <row r="820" ht="15.75" customHeight="1">
      <c r="A820" s="53"/>
      <c r="B820" s="53"/>
      <c r="C820" s="53"/>
      <c r="D820" s="53"/>
      <c r="E820" s="53"/>
      <c r="F820" s="53"/>
      <c r="G820" s="53"/>
    </row>
    <row r="821" ht="15.75" customHeight="1">
      <c r="A821" s="53"/>
      <c r="B821" s="53"/>
      <c r="C821" s="53"/>
      <c r="D821" s="53"/>
      <c r="E821" s="53"/>
      <c r="F821" s="53"/>
      <c r="G821" s="53"/>
    </row>
    <row r="822" ht="15.75" customHeight="1">
      <c r="A822" s="53"/>
      <c r="B822" s="53"/>
      <c r="C822" s="53"/>
      <c r="D822" s="53"/>
      <c r="E822" s="53"/>
      <c r="F822" s="53"/>
      <c r="G822" s="53"/>
    </row>
    <row r="823" ht="15.75" customHeight="1">
      <c r="A823" s="53"/>
      <c r="B823" s="53"/>
      <c r="C823" s="53"/>
      <c r="D823" s="53"/>
      <c r="E823" s="53"/>
      <c r="F823" s="53"/>
      <c r="G823" s="53"/>
    </row>
    <row r="824" ht="15.75" customHeight="1">
      <c r="A824" s="53"/>
      <c r="B824" s="53"/>
      <c r="C824" s="53"/>
      <c r="D824" s="53"/>
      <c r="E824" s="53"/>
      <c r="F824" s="53"/>
      <c r="G824" s="53"/>
    </row>
    <row r="825" ht="15.75" customHeight="1">
      <c r="A825" s="53"/>
      <c r="B825" s="53"/>
      <c r="C825" s="53"/>
      <c r="D825" s="53"/>
      <c r="E825" s="53"/>
      <c r="F825" s="53"/>
      <c r="G825" s="53"/>
    </row>
    <row r="826" ht="15.75" customHeight="1">
      <c r="A826" s="53"/>
      <c r="B826" s="53"/>
      <c r="C826" s="53"/>
      <c r="D826" s="53"/>
      <c r="E826" s="53"/>
      <c r="F826" s="53"/>
      <c r="G826" s="53"/>
    </row>
    <row r="827" ht="15.75" customHeight="1">
      <c r="A827" s="53"/>
      <c r="B827" s="53"/>
      <c r="C827" s="53"/>
      <c r="D827" s="53"/>
      <c r="E827" s="53"/>
      <c r="F827" s="53"/>
      <c r="G827" s="53"/>
    </row>
    <row r="828" ht="15.75" customHeight="1">
      <c r="A828" s="53"/>
      <c r="B828" s="53"/>
      <c r="C828" s="53"/>
      <c r="D828" s="53"/>
      <c r="E828" s="53"/>
      <c r="F828" s="53"/>
      <c r="G828" s="53"/>
    </row>
    <row r="829" ht="15.75" customHeight="1">
      <c r="A829" s="53"/>
      <c r="B829" s="53"/>
      <c r="C829" s="53"/>
      <c r="D829" s="53"/>
      <c r="E829" s="53"/>
      <c r="F829" s="53"/>
      <c r="G829" s="53"/>
    </row>
    <row r="830" ht="15.75" customHeight="1">
      <c r="A830" s="53"/>
      <c r="B830" s="53"/>
      <c r="C830" s="53"/>
      <c r="D830" s="53"/>
      <c r="E830" s="53"/>
      <c r="F830" s="53"/>
      <c r="G830" s="53"/>
    </row>
    <row r="831" ht="15.75" customHeight="1">
      <c r="A831" s="53"/>
      <c r="B831" s="53"/>
      <c r="C831" s="53"/>
      <c r="D831" s="53"/>
      <c r="E831" s="53"/>
      <c r="F831" s="53"/>
      <c r="G831" s="53"/>
    </row>
    <row r="832" ht="15.75" customHeight="1">
      <c r="A832" s="53"/>
      <c r="B832" s="53"/>
      <c r="C832" s="53"/>
      <c r="D832" s="53"/>
      <c r="E832" s="53"/>
      <c r="F832" s="53"/>
      <c r="G832" s="53"/>
    </row>
    <row r="833" ht="15.75" customHeight="1">
      <c r="A833" s="53"/>
      <c r="B833" s="53"/>
      <c r="C833" s="53"/>
      <c r="D833" s="53"/>
      <c r="E833" s="53"/>
      <c r="F833" s="53"/>
      <c r="G833" s="53"/>
    </row>
    <row r="834" ht="15.75" customHeight="1">
      <c r="A834" s="53"/>
      <c r="B834" s="53"/>
      <c r="C834" s="53"/>
      <c r="D834" s="53"/>
      <c r="E834" s="53"/>
      <c r="F834" s="53"/>
      <c r="G834" s="53"/>
    </row>
    <row r="835" ht="15.75" customHeight="1">
      <c r="A835" s="53"/>
      <c r="B835" s="53"/>
      <c r="C835" s="53"/>
      <c r="D835" s="53"/>
      <c r="E835" s="53"/>
      <c r="F835" s="53"/>
      <c r="G835" s="53"/>
    </row>
    <row r="836" ht="15.75" customHeight="1">
      <c r="A836" s="53"/>
      <c r="B836" s="53"/>
      <c r="C836" s="53"/>
      <c r="D836" s="53"/>
      <c r="E836" s="53"/>
      <c r="F836" s="53"/>
      <c r="G836" s="53"/>
    </row>
    <row r="837" ht="15.75" customHeight="1">
      <c r="A837" s="53"/>
      <c r="B837" s="53"/>
      <c r="C837" s="53"/>
      <c r="D837" s="53"/>
      <c r="E837" s="53"/>
      <c r="F837" s="53"/>
      <c r="G837" s="53"/>
    </row>
    <row r="838" ht="15.75" customHeight="1">
      <c r="A838" s="53"/>
      <c r="B838" s="53"/>
      <c r="C838" s="53"/>
      <c r="D838" s="53"/>
      <c r="E838" s="53"/>
      <c r="F838" s="53"/>
      <c r="G838" s="53"/>
    </row>
    <row r="839" ht="15.75" customHeight="1">
      <c r="A839" s="53"/>
      <c r="B839" s="53"/>
      <c r="C839" s="53"/>
      <c r="D839" s="53"/>
      <c r="E839" s="53"/>
      <c r="F839" s="53"/>
      <c r="G839" s="53"/>
    </row>
    <row r="840" ht="15.75" customHeight="1">
      <c r="A840" s="53"/>
      <c r="B840" s="53"/>
      <c r="C840" s="53"/>
      <c r="D840" s="53"/>
      <c r="E840" s="53"/>
      <c r="F840" s="53"/>
      <c r="G840" s="53"/>
    </row>
    <row r="841" ht="15.75" customHeight="1">
      <c r="A841" s="53"/>
      <c r="B841" s="53"/>
      <c r="C841" s="53"/>
      <c r="D841" s="53"/>
      <c r="E841" s="53"/>
      <c r="F841" s="53"/>
      <c r="G841" s="53"/>
    </row>
    <row r="842" ht="15.75" customHeight="1">
      <c r="A842" s="53"/>
      <c r="B842" s="53"/>
      <c r="C842" s="53"/>
      <c r="D842" s="53"/>
      <c r="E842" s="53"/>
      <c r="F842" s="53"/>
      <c r="G842" s="53"/>
    </row>
    <row r="843" ht="15.75" customHeight="1">
      <c r="A843" s="53"/>
      <c r="B843" s="53"/>
      <c r="C843" s="53"/>
      <c r="D843" s="53"/>
      <c r="E843" s="53"/>
      <c r="F843" s="53"/>
      <c r="G843" s="53"/>
    </row>
    <row r="844" ht="15.75" customHeight="1">
      <c r="A844" s="53"/>
      <c r="B844" s="53"/>
      <c r="C844" s="53"/>
      <c r="D844" s="53"/>
      <c r="E844" s="53"/>
      <c r="F844" s="53"/>
      <c r="G844" s="53"/>
    </row>
    <row r="845" ht="15.75" customHeight="1">
      <c r="A845" s="53"/>
      <c r="B845" s="53"/>
      <c r="C845" s="53"/>
      <c r="D845" s="53"/>
      <c r="E845" s="53"/>
      <c r="F845" s="53"/>
      <c r="G845" s="53"/>
    </row>
    <row r="846" ht="15.75" customHeight="1">
      <c r="A846" s="53"/>
      <c r="B846" s="53"/>
      <c r="C846" s="53"/>
      <c r="D846" s="53"/>
      <c r="E846" s="53"/>
      <c r="F846" s="53"/>
      <c r="G846" s="53"/>
    </row>
    <row r="847" ht="15.75" customHeight="1">
      <c r="A847" s="53"/>
      <c r="B847" s="53"/>
      <c r="C847" s="53"/>
      <c r="D847" s="53"/>
      <c r="E847" s="53"/>
      <c r="F847" s="53"/>
      <c r="G847" s="53"/>
    </row>
    <row r="848" ht="15.75" customHeight="1">
      <c r="A848" s="53"/>
      <c r="B848" s="53"/>
      <c r="C848" s="53"/>
      <c r="D848" s="53"/>
      <c r="E848" s="53"/>
      <c r="F848" s="53"/>
      <c r="G848" s="53"/>
    </row>
    <row r="849" ht="15.75" customHeight="1">
      <c r="A849" s="53"/>
      <c r="B849" s="53"/>
      <c r="C849" s="53"/>
      <c r="D849" s="53"/>
      <c r="E849" s="53"/>
      <c r="F849" s="53"/>
      <c r="G849" s="53"/>
    </row>
    <row r="850" ht="15.75" customHeight="1">
      <c r="A850" s="53"/>
      <c r="B850" s="53"/>
      <c r="C850" s="53"/>
      <c r="D850" s="53"/>
      <c r="E850" s="53"/>
      <c r="F850" s="53"/>
      <c r="G850" s="53"/>
    </row>
    <row r="851" ht="15.75" customHeight="1">
      <c r="A851" s="53"/>
      <c r="B851" s="53"/>
      <c r="C851" s="53"/>
      <c r="D851" s="53"/>
      <c r="E851" s="53"/>
      <c r="F851" s="53"/>
      <c r="G851" s="53"/>
    </row>
    <row r="852" ht="15.75" customHeight="1">
      <c r="A852" s="53"/>
      <c r="B852" s="53"/>
      <c r="C852" s="53"/>
      <c r="D852" s="53"/>
      <c r="E852" s="53"/>
      <c r="F852" s="53"/>
      <c r="G852" s="53"/>
    </row>
    <row r="853" ht="15.75" customHeight="1">
      <c r="A853" s="53"/>
      <c r="B853" s="53"/>
      <c r="C853" s="53"/>
      <c r="D853" s="53"/>
      <c r="E853" s="53"/>
      <c r="F853" s="53"/>
      <c r="G853" s="53"/>
    </row>
    <row r="854" ht="15.75" customHeight="1">
      <c r="A854" s="53"/>
      <c r="B854" s="53"/>
      <c r="C854" s="53"/>
      <c r="D854" s="53"/>
      <c r="E854" s="53"/>
      <c r="F854" s="53"/>
      <c r="G854" s="53"/>
    </row>
    <row r="855" ht="15.75" customHeight="1">
      <c r="A855" s="53"/>
      <c r="B855" s="53"/>
      <c r="C855" s="53"/>
      <c r="D855" s="53"/>
      <c r="E855" s="53"/>
      <c r="F855" s="53"/>
      <c r="G855" s="53"/>
    </row>
    <row r="856" ht="15.75" customHeight="1">
      <c r="A856" s="53"/>
      <c r="B856" s="53"/>
      <c r="C856" s="53"/>
      <c r="D856" s="53"/>
      <c r="E856" s="53"/>
      <c r="F856" s="53"/>
      <c r="G856" s="53"/>
    </row>
    <row r="857" ht="15.75" customHeight="1">
      <c r="A857" s="53"/>
      <c r="B857" s="53"/>
      <c r="C857" s="53"/>
      <c r="D857" s="53"/>
      <c r="E857" s="53"/>
      <c r="F857" s="53"/>
      <c r="G857" s="53"/>
    </row>
    <row r="858" ht="15.75" customHeight="1">
      <c r="A858" s="53"/>
      <c r="B858" s="53"/>
      <c r="C858" s="53"/>
      <c r="D858" s="53"/>
      <c r="E858" s="53"/>
      <c r="F858" s="53"/>
      <c r="G858" s="53"/>
    </row>
    <row r="859" ht="15.75" customHeight="1">
      <c r="A859" s="53"/>
      <c r="B859" s="53"/>
      <c r="C859" s="53"/>
      <c r="D859" s="53"/>
      <c r="E859" s="53"/>
      <c r="F859" s="53"/>
      <c r="G859" s="53"/>
    </row>
    <row r="860" ht="15.75" customHeight="1">
      <c r="A860" s="53"/>
      <c r="B860" s="53"/>
      <c r="C860" s="53"/>
      <c r="D860" s="53"/>
      <c r="E860" s="53"/>
      <c r="F860" s="53"/>
      <c r="G860" s="53"/>
    </row>
    <row r="861" ht="15.75" customHeight="1">
      <c r="A861" s="53"/>
      <c r="B861" s="53"/>
      <c r="C861" s="53"/>
      <c r="D861" s="53"/>
      <c r="E861" s="53"/>
      <c r="F861" s="53"/>
      <c r="G861" s="53"/>
    </row>
    <row r="862" ht="15.75" customHeight="1">
      <c r="A862" s="53"/>
      <c r="B862" s="53"/>
      <c r="C862" s="53"/>
      <c r="D862" s="53"/>
      <c r="E862" s="53"/>
      <c r="F862" s="53"/>
      <c r="G862" s="53"/>
    </row>
    <row r="863" ht="15.75" customHeight="1">
      <c r="A863" s="53"/>
      <c r="B863" s="53"/>
      <c r="C863" s="53"/>
      <c r="D863" s="53"/>
      <c r="E863" s="53"/>
      <c r="F863" s="53"/>
      <c r="G863" s="53"/>
    </row>
    <row r="864" ht="15.75" customHeight="1">
      <c r="A864" s="53"/>
      <c r="B864" s="53"/>
      <c r="C864" s="53"/>
      <c r="D864" s="53"/>
      <c r="E864" s="53"/>
      <c r="F864" s="53"/>
      <c r="G864" s="53"/>
    </row>
    <row r="865" ht="15.75" customHeight="1">
      <c r="A865" s="53"/>
      <c r="B865" s="53"/>
      <c r="C865" s="53"/>
      <c r="D865" s="53"/>
      <c r="E865" s="53"/>
      <c r="F865" s="53"/>
      <c r="G865" s="53"/>
    </row>
    <row r="866" ht="15.75" customHeight="1">
      <c r="A866" s="53"/>
      <c r="B866" s="53"/>
      <c r="C866" s="53"/>
      <c r="D866" s="53"/>
      <c r="E866" s="53"/>
      <c r="F866" s="53"/>
      <c r="G866" s="53"/>
    </row>
    <row r="867" ht="15.75" customHeight="1">
      <c r="A867" s="53"/>
      <c r="B867" s="53"/>
      <c r="C867" s="53"/>
      <c r="D867" s="53"/>
      <c r="E867" s="53"/>
      <c r="F867" s="53"/>
      <c r="G867" s="53"/>
    </row>
    <row r="868" ht="15.75" customHeight="1">
      <c r="A868" s="53"/>
      <c r="B868" s="53"/>
      <c r="C868" s="53"/>
      <c r="D868" s="53"/>
      <c r="E868" s="53"/>
      <c r="F868" s="53"/>
      <c r="G868" s="53"/>
    </row>
    <row r="869" ht="15.75" customHeight="1">
      <c r="A869" s="53"/>
      <c r="B869" s="53"/>
      <c r="C869" s="53"/>
      <c r="D869" s="53"/>
      <c r="E869" s="53"/>
      <c r="F869" s="53"/>
      <c r="G869" s="53"/>
    </row>
    <row r="870" ht="15.75" customHeight="1">
      <c r="A870" s="53"/>
      <c r="B870" s="53"/>
      <c r="C870" s="53"/>
      <c r="D870" s="53"/>
      <c r="E870" s="53"/>
      <c r="F870" s="53"/>
      <c r="G870" s="53"/>
    </row>
    <row r="871" ht="15.75" customHeight="1">
      <c r="A871" s="53"/>
      <c r="B871" s="53"/>
      <c r="C871" s="53"/>
      <c r="D871" s="53"/>
      <c r="E871" s="53"/>
      <c r="F871" s="53"/>
      <c r="G871" s="53"/>
    </row>
    <row r="872" ht="15.75" customHeight="1">
      <c r="A872" s="53"/>
      <c r="B872" s="53"/>
      <c r="C872" s="53"/>
      <c r="D872" s="53"/>
      <c r="E872" s="53"/>
      <c r="F872" s="53"/>
      <c r="G872" s="53"/>
    </row>
    <row r="873" ht="15.75" customHeight="1">
      <c r="A873" s="53"/>
      <c r="B873" s="53"/>
      <c r="C873" s="53"/>
      <c r="D873" s="53"/>
      <c r="E873" s="53"/>
      <c r="F873" s="53"/>
      <c r="G873" s="53"/>
    </row>
    <row r="874" ht="15.75" customHeight="1">
      <c r="A874" s="53"/>
      <c r="B874" s="53"/>
      <c r="C874" s="53"/>
      <c r="D874" s="53"/>
      <c r="E874" s="53"/>
      <c r="F874" s="53"/>
      <c r="G874" s="53"/>
    </row>
    <row r="875" ht="15.75" customHeight="1">
      <c r="A875" s="53"/>
      <c r="B875" s="53"/>
      <c r="C875" s="53"/>
      <c r="D875" s="53"/>
      <c r="E875" s="53"/>
      <c r="F875" s="53"/>
      <c r="G875" s="53"/>
    </row>
    <row r="876" ht="15.75" customHeight="1">
      <c r="A876" s="53"/>
      <c r="B876" s="53"/>
      <c r="C876" s="53"/>
      <c r="D876" s="53"/>
      <c r="E876" s="53"/>
      <c r="F876" s="53"/>
      <c r="G876" s="53"/>
    </row>
    <row r="877" ht="15.75" customHeight="1">
      <c r="A877" s="53"/>
      <c r="B877" s="53"/>
      <c r="C877" s="53"/>
      <c r="D877" s="53"/>
      <c r="E877" s="53"/>
      <c r="F877" s="53"/>
      <c r="G877" s="53"/>
    </row>
    <row r="878" ht="15.75" customHeight="1">
      <c r="A878" s="53"/>
      <c r="B878" s="53"/>
      <c r="C878" s="53"/>
      <c r="D878" s="53"/>
      <c r="E878" s="53"/>
      <c r="F878" s="53"/>
      <c r="G878" s="53"/>
    </row>
    <row r="879" ht="15.75" customHeight="1">
      <c r="A879" s="53"/>
      <c r="B879" s="53"/>
      <c r="C879" s="53"/>
      <c r="D879" s="53"/>
      <c r="E879" s="53"/>
      <c r="F879" s="53"/>
      <c r="G879" s="53"/>
    </row>
    <row r="880" ht="15.75" customHeight="1">
      <c r="A880" s="53"/>
      <c r="B880" s="53"/>
      <c r="C880" s="53"/>
      <c r="D880" s="53"/>
      <c r="E880" s="53"/>
      <c r="F880" s="53"/>
      <c r="G880" s="53"/>
    </row>
    <row r="881" ht="15.75" customHeight="1">
      <c r="A881" s="53"/>
      <c r="B881" s="53"/>
      <c r="C881" s="53"/>
      <c r="D881" s="53"/>
      <c r="E881" s="53"/>
      <c r="F881" s="53"/>
      <c r="G881" s="53"/>
    </row>
    <row r="882" ht="15.75" customHeight="1">
      <c r="A882" s="53"/>
      <c r="B882" s="53"/>
      <c r="C882" s="53"/>
      <c r="D882" s="53"/>
      <c r="E882" s="53"/>
      <c r="F882" s="53"/>
      <c r="G882" s="53"/>
    </row>
    <row r="883" ht="15.75" customHeight="1">
      <c r="A883" s="53"/>
      <c r="B883" s="53"/>
      <c r="C883" s="53"/>
      <c r="D883" s="53"/>
      <c r="E883" s="53"/>
      <c r="F883" s="53"/>
      <c r="G883" s="53"/>
    </row>
    <row r="884" ht="15.75" customHeight="1">
      <c r="A884" s="53"/>
      <c r="B884" s="53"/>
      <c r="C884" s="53"/>
      <c r="D884" s="53"/>
      <c r="E884" s="53"/>
      <c r="F884" s="53"/>
      <c r="G884" s="53"/>
    </row>
    <row r="885" ht="15.75" customHeight="1">
      <c r="A885" s="53"/>
      <c r="B885" s="53"/>
      <c r="C885" s="53"/>
      <c r="D885" s="53"/>
      <c r="E885" s="53"/>
      <c r="F885" s="53"/>
      <c r="G885" s="53"/>
    </row>
    <row r="886" ht="15.75" customHeight="1">
      <c r="A886" s="53"/>
      <c r="B886" s="53"/>
      <c r="C886" s="53"/>
      <c r="D886" s="53"/>
      <c r="E886" s="53"/>
      <c r="F886" s="53"/>
      <c r="G886" s="53"/>
    </row>
    <row r="887" ht="15.75" customHeight="1">
      <c r="A887" s="53"/>
      <c r="B887" s="53"/>
      <c r="C887" s="53"/>
      <c r="D887" s="53"/>
      <c r="E887" s="53"/>
      <c r="F887" s="53"/>
      <c r="G887" s="53"/>
    </row>
    <row r="888" ht="15.75" customHeight="1">
      <c r="A888" s="53"/>
      <c r="B888" s="53"/>
      <c r="C888" s="53"/>
      <c r="D888" s="53"/>
      <c r="E888" s="53"/>
      <c r="F888" s="53"/>
      <c r="G888" s="53"/>
    </row>
    <row r="889" ht="15.75" customHeight="1">
      <c r="A889" s="53"/>
      <c r="B889" s="53"/>
      <c r="C889" s="53"/>
      <c r="D889" s="53"/>
      <c r="E889" s="53"/>
      <c r="F889" s="53"/>
      <c r="G889" s="53"/>
    </row>
    <row r="890" ht="15.75" customHeight="1">
      <c r="A890" s="53"/>
      <c r="B890" s="53"/>
      <c r="C890" s="53"/>
      <c r="D890" s="53"/>
      <c r="E890" s="53"/>
      <c r="F890" s="53"/>
      <c r="G890" s="53"/>
    </row>
    <row r="891" ht="15.75" customHeight="1">
      <c r="A891" s="53"/>
      <c r="B891" s="53"/>
      <c r="C891" s="53"/>
      <c r="D891" s="53"/>
      <c r="E891" s="53"/>
      <c r="F891" s="53"/>
      <c r="G891" s="53"/>
    </row>
    <row r="892" ht="15.75" customHeight="1">
      <c r="A892" s="53"/>
      <c r="B892" s="53"/>
      <c r="C892" s="53"/>
      <c r="D892" s="53"/>
      <c r="E892" s="53"/>
      <c r="F892" s="53"/>
      <c r="G892" s="53"/>
    </row>
    <row r="893" ht="15.75" customHeight="1">
      <c r="A893" s="53"/>
      <c r="B893" s="53"/>
      <c r="C893" s="53"/>
      <c r="D893" s="53"/>
      <c r="E893" s="53"/>
      <c r="F893" s="53"/>
      <c r="G893" s="53"/>
    </row>
    <row r="894" ht="15.75" customHeight="1">
      <c r="A894" s="53"/>
      <c r="B894" s="53"/>
      <c r="C894" s="53"/>
      <c r="D894" s="53"/>
      <c r="E894" s="53"/>
      <c r="F894" s="53"/>
      <c r="G894" s="53"/>
    </row>
    <row r="895" ht="15.75" customHeight="1">
      <c r="A895" s="53"/>
      <c r="B895" s="53"/>
      <c r="C895" s="53"/>
      <c r="D895" s="53"/>
      <c r="E895" s="53"/>
      <c r="F895" s="53"/>
      <c r="G895" s="53"/>
    </row>
    <row r="896" ht="15.75" customHeight="1">
      <c r="A896" s="53"/>
      <c r="B896" s="53"/>
      <c r="C896" s="53"/>
      <c r="D896" s="53"/>
      <c r="E896" s="53"/>
      <c r="F896" s="53"/>
      <c r="G896" s="53"/>
    </row>
    <row r="897" ht="15.75" customHeight="1">
      <c r="A897" s="53"/>
      <c r="B897" s="53"/>
      <c r="C897" s="53"/>
      <c r="D897" s="53"/>
      <c r="E897" s="53"/>
      <c r="F897" s="53"/>
      <c r="G897" s="53"/>
    </row>
    <row r="898" ht="15.75" customHeight="1">
      <c r="A898" s="53"/>
      <c r="B898" s="53"/>
      <c r="C898" s="53"/>
      <c r="D898" s="53"/>
      <c r="E898" s="53"/>
      <c r="F898" s="53"/>
      <c r="G898" s="53"/>
    </row>
    <row r="899" ht="15.75" customHeight="1">
      <c r="A899" s="53"/>
      <c r="B899" s="53"/>
      <c r="C899" s="53"/>
      <c r="D899" s="53"/>
      <c r="E899" s="53"/>
      <c r="F899" s="53"/>
      <c r="G899" s="53"/>
    </row>
    <row r="900" ht="15.75" customHeight="1">
      <c r="A900" s="53"/>
      <c r="B900" s="53"/>
      <c r="C900" s="53"/>
      <c r="D900" s="53"/>
      <c r="E900" s="53"/>
      <c r="F900" s="53"/>
      <c r="G900" s="53"/>
    </row>
    <row r="901" ht="15.75" customHeight="1">
      <c r="A901" s="53"/>
      <c r="B901" s="53"/>
      <c r="C901" s="53"/>
      <c r="D901" s="53"/>
      <c r="E901" s="53"/>
      <c r="F901" s="53"/>
      <c r="G901" s="53"/>
    </row>
    <row r="902" ht="15.75" customHeight="1">
      <c r="A902" s="53"/>
      <c r="B902" s="53"/>
      <c r="C902" s="53"/>
      <c r="D902" s="53"/>
      <c r="E902" s="53"/>
      <c r="F902" s="53"/>
      <c r="G902" s="53"/>
    </row>
    <row r="903" ht="15.75" customHeight="1">
      <c r="A903" s="53"/>
      <c r="B903" s="53"/>
      <c r="C903" s="53"/>
      <c r="D903" s="53"/>
      <c r="E903" s="53"/>
      <c r="F903" s="53"/>
      <c r="G903" s="53"/>
    </row>
    <row r="904" ht="15.75" customHeight="1">
      <c r="A904" s="53"/>
      <c r="B904" s="53"/>
      <c r="C904" s="53"/>
      <c r="D904" s="53"/>
      <c r="E904" s="53"/>
      <c r="F904" s="53"/>
      <c r="G904" s="53"/>
    </row>
    <row r="905" ht="15.75" customHeight="1">
      <c r="A905" s="53"/>
      <c r="B905" s="53"/>
      <c r="C905" s="53"/>
      <c r="D905" s="53"/>
      <c r="E905" s="53"/>
      <c r="F905" s="53"/>
      <c r="G905" s="53"/>
    </row>
    <row r="906" ht="15.75" customHeight="1">
      <c r="A906" s="53"/>
      <c r="B906" s="53"/>
      <c r="C906" s="53"/>
      <c r="D906" s="53"/>
      <c r="E906" s="53"/>
      <c r="F906" s="53"/>
      <c r="G906" s="53"/>
    </row>
    <row r="907" ht="15.75" customHeight="1">
      <c r="A907" s="53"/>
      <c r="B907" s="53"/>
      <c r="C907" s="53"/>
      <c r="D907" s="53"/>
      <c r="E907" s="53"/>
      <c r="F907" s="53"/>
      <c r="G907" s="53"/>
    </row>
    <row r="908" ht="15.75" customHeight="1">
      <c r="A908" s="53"/>
      <c r="B908" s="53"/>
      <c r="C908" s="53"/>
      <c r="D908" s="53"/>
      <c r="E908" s="53"/>
      <c r="F908" s="53"/>
      <c r="G908" s="53"/>
    </row>
    <row r="909" ht="15.75" customHeight="1">
      <c r="A909" s="53"/>
      <c r="B909" s="53"/>
      <c r="C909" s="53"/>
      <c r="D909" s="53"/>
      <c r="E909" s="53"/>
      <c r="F909" s="53"/>
      <c r="G909" s="53"/>
    </row>
    <row r="910" ht="15.75" customHeight="1">
      <c r="A910" s="53"/>
      <c r="B910" s="53"/>
      <c r="C910" s="53"/>
      <c r="D910" s="53"/>
      <c r="E910" s="53"/>
      <c r="F910" s="53"/>
      <c r="G910" s="53"/>
    </row>
    <row r="911" ht="15.75" customHeight="1">
      <c r="A911" s="53"/>
      <c r="B911" s="53"/>
      <c r="C911" s="53"/>
      <c r="D911" s="53"/>
      <c r="E911" s="53"/>
      <c r="F911" s="53"/>
      <c r="G911" s="53"/>
    </row>
    <row r="912" ht="15.75" customHeight="1">
      <c r="A912" s="53"/>
      <c r="B912" s="53"/>
      <c r="C912" s="53"/>
      <c r="D912" s="53"/>
      <c r="E912" s="53"/>
      <c r="F912" s="53"/>
      <c r="G912" s="53"/>
    </row>
    <row r="913" ht="15.75" customHeight="1">
      <c r="A913" s="53"/>
      <c r="B913" s="53"/>
      <c r="C913" s="53"/>
      <c r="D913" s="53"/>
      <c r="E913" s="53"/>
      <c r="F913" s="53"/>
      <c r="G913" s="53"/>
    </row>
    <row r="914" ht="15.75" customHeight="1">
      <c r="A914" s="53"/>
      <c r="B914" s="53"/>
      <c r="C914" s="53"/>
      <c r="D914" s="53"/>
      <c r="E914" s="53"/>
      <c r="F914" s="53"/>
      <c r="G914" s="53"/>
    </row>
    <row r="915" ht="15.75" customHeight="1">
      <c r="A915" s="53"/>
      <c r="B915" s="53"/>
      <c r="C915" s="53"/>
      <c r="D915" s="53"/>
      <c r="E915" s="53"/>
      <c r="F915" s="53"/>
      <c r="G915" s="53"/>
    </row>
    <row r="916" ht="15.75" customHeight="1">
      <c r="A916" s="53"/>
      <c r="B916" s="53"/>
      <c r="C916" s="53"/>
      <c r="D916" s="53"/>
      <c r="E916" s="53"/>
      <c r="F916" s="53"/>
      <c r="G916" s="53"/>
    </row>
    <row r="917" ht="15.75" customHeight="1">
      <c r="A917" s="53"/>
      <c r="B917" s="53"/>
      <c r="C917" s="53"/>
      <c r="D917" s="53"/>
      <c r="E917" s="53"/>
      <c r="F917" s="53"/>
      <c r="G917" s="53"/>
    </row>
    <row r="918" ht="15.75" customHeight="1">
      <c r="A918" s="53"/>
      <c r="B918" s="53"/>
      <c r="C918" s="53"/>
      <c r="D918" s="53"/>
      <c r="E918" s="53"/>
      <c r="F918" s="53"/>
      <c r="G918" s="53"/>
    </row>
    <row r="919" ht="15.75" customHeight="1">
      <c r="A919" s="53"/>
      <c r="B919" s="53"/>
      <c r="C919" s="53"/>
      <c r="D919" s="53"/>
      <c r="E919" s="53"/>
      <c r="F919" s="53"/>
      <c r="G919" s="53"/>
    </row>
    <row r="920" ht="15.75" customHeight="1">
      <c r="A920" s="53"/>
      <c r="B920" s="53"/>
      <c r="C920" s="53"/>
      <c r="D920" s="53"/>
      <c r="E920" s="53"/>
      <c r="F920" s="53"/>
      <c r="G920" s="53"/>
    </row>
    <row r="921" ht="15.75" customHeight="1">
      <c r="A921" s="53"/>
      <c r="B921" s="53"/>
      <c r="C921" s="53"/>
      <c r="D921" s="53"/>
      <c r="E921" s="53"/>
      <c r="F921" s="53"/>
      <c r="G921" s="53"/>
    </row>
    <row r="922" ht="15.75" customHeight="1">
      <c r="A922" s="53"/>
      <c r="B922" s="53"/>
      <c r="C922" s="53"/>
      <c r="D922" s="53"/>
      <c r="E922" s="53"/>
      <c r="F922" s="53"/>
      <c r="G922" s="53"/>
    </row>
    <row r="923" ht="15.75" customHeight="1">
      <c r="A923" s="53"/>
      <c r="B923" s="53"/>
      <c r="C923" s="53"/>
      <c r="D923" s="53"/>
      <c r="E923" s="53"/>
      <c r="F923" s="53"/>
      <c r="G923" s="53"/>
    </row>
    <row r="924" ht="15.75" customHeight="1">
      <c r="A924" s="53"/>
      <c r="B924" s="53"/>
      <c r="C924" s="53"/>
      <c r="D924" s="53"/>
      <c r="E924" s="53"/>
      <c r="F924" s="53"/>
      <c r="G924" s="53"/>
    </row>
    <row r="925" ht="15.75" customHeight="1">
      <c r="A925" s="53"/>
      <c r="B925" s="53"/>
      <c r="C925" s="53"/>
      <c r="D925" s="53"/>
      <c r="E925" s="53"/>
      <c r="F925" s="53"/>
      <c r="G925" s="53"/>
    </row>
    <row r="926" ht="15.75" customHeight="1">
      <c r="A926" s="53"/>
      <c r="B926" s="53"/>
      <c r="C926" s="53"/>
      <c r="D926" s="53"/>
      <c r="E926" s="53"/>
      <c r="F926" s="53"/>
      <c r="G926" s="53"/>
    </row>
    <row r="927" ht="15.75" customHeight="1">
      <c r="A927" s="53"/>
      <c r="B927" s="53"/>
      <c r="C927" s="53"/>
      <c r="D927" s="53"/>
      <c r="E927" s="53"/>
      <c r="F927" s="53"/>
      <c r="G927" s="53"/>
    </row>
    <row r="928" ht="15.75" customHeight="1">
      <c r="A928" s="53"/>
      <c r="B928" s="53"/>
      <c r="C928" s="53"/>
      <c r="D928" s="53"/>
      <c r="E928" s="53"/>
      <c r="F928" s="53"/>
      <c r="G928" s="53"/>
    </row>
    <row r="929" ht="15.75" customHeight="1">
      <c r="A929" s="53"/>
      <c r="B929" s="53"/>
      <c r="C929" s="53"/>
      <c r="D929" s="53"/>
      <c r="E929" s="53"/>
      <c r="F929" s="53"/>
      <c r="G929" s="53"/>
    </row>
    <row r="930" ht="15.75" customHeight="1">
      <c r="A930" s="53"/>
      <c r="B930" s="53"/>
      <c r="C930" s="53"/>
      <c r="D930" s="53"/>
      <c r="E930" s="53"/>
      <c r="F930" s="53"/>
      <c r="G930" s="53"/>
    </row>
    <row r="931" ht="15.75" customHeight="1">
      <c r="A931" s="53"/>
      <c r="B931" s="53"/>
      <c r="C931" s="53"/>
      <c r="D931" s="53"/>
      <c r="E931" s="53"/>
      <c r="F931" s="53"/>
      <c r="G931" s="53"/>
    </row>
    <row r="932" ht="15.75" customHeight="1">
      <c r="A932" s="53"/>
      <c r="B932" s="53"/>
      <c r="C932" s="53"/>
      <c r="D932" s="53"/>
      <c r="E932" s="53"/>
      <c r="F932" s="53"/>
      <c r="G932" s="53"/>
    </row>
    <row r="933" ht="15.75" customHeight="1">
      <c r="A933" s="53"/>
      <c r="B933" s="53"/>
      <c r="C933" s="53"/>
      <c r="D933" s="53"/>
      <c r="E933" s="53"/>
      <c r="F933" s="53"/>
      <c r="G933" s="53"/>
    </row>
    <row r="934" ht="15.75" customHeight="1">
      <c r="A934" s="53"/>
      <c r="B934" s="53"/>
      <c r="C934" s="53"/>
      <c r="D934" s="53"/>
      <c r="E934" s="53"/>
      <c r="F934" s="53"/>
      <c r="G934" s="53"/>
    </row>
    <row r="935" ht="15.75" customHeight="1">
      <c r="A935" s="53"/>
      <c r="B935" s="53"/>
      <c r="C935" s="53"/>
      <c r="D935" s="53"/>
      <c r="E935" s="53"/>
      <c r="F935" s="53"/>
      <c r="G935" s="53"/>
    </row>
    <row r="936" ht="15.75" customHeight="1">
      <c r="A936" s="53"/>
      <c r="B936" s="53"/>
      <c r="C936" s="53"/>
      <c r="D936" s="53"/>
      <c r="E936" s="53"/>
      <c r="F936" s="53"/>
      <c r="G936" s="53"/>
    </row>
    <row r="937" ht="15.75" customHeight="1">
      <c r="A937" s="53"/>
      <c r="B937" s="53"/>
      <c r="C937" s="53"/>
      <c r="D937" s="53"/>
      <c r="E937" s="53"/>
      <c r="F937" s="53"/>
      <c r="G937" s="53"/>
    </row>
    <row r="938" ht="15.75" customHeight="1">
      <c r="A938" s="53"/>
      <c r="B938" s="53"/>
      <c r="C938" s="53"/>
      <c r="D938" s="53"/>
      <c r="E938" s="53"/>
      <c r="F938" s="53"/>
      <c r="G938" s="53"/>
    </row>
    <row r="939" ht="15.75" customHeight="1">
      <c r="A939" s="53"/>
      <c r="B939" s="53"/>
      <c r="C939" s="53"/>
      <c r="D939" s="53"/>
      <c r="E939" s="53"/>
      <c r="F939" s="53"/>
      <c r="G939" s="53"/>
    </row>
    <row r="940" ht="15.75" customHeight="1">
      <c r="A940" s="53"/>
      <c r="B940" s="53"/>
      <c r="C940" s="53"/>
      <c r="D940" s="53"/>
      <c r="E940" s="53"/>
      <c r="F940" s="53"/>
      <c r="G940" s="53"/>
    </row>
    <row r="941" ht="15.75" customHeight="1">
      <c r="A941" s="53"/>
      <c r="B941" s="53"/>
      <c r="C941" s="53"/>
      <c r="D941" s="53"/>
      <c r="E941" s="53"/>
      <c r="F941" s="53"/>
      <c r="G941" s="53"/>
    </row>
    <row r="942" ht="15.75" customHeight="1">
      <c r="A942" s="53"/>
      <c r="B942" s="53"/>
      <c r="C942" s="53"/>
      <c r="D942" s="53"/>
      <c r="E942" s="53"/>
      <c r="F942" s="53"/>
      <c r="G942" s="53"/>
    </row>
    <row r="943" ht="15.75" customHeight="1">
      <c r="A943" s="53"/>
      <c r="B943" s="53"/>
      <c r="C943" s="53"/>
      <c r="D943" s="53"/>
      <c r="E943" s="53"/>
      <c r="F943" s="53"/>
      <c r="G943" s="53"/>
    </row>
    <row r="944" ht="15.75" customHeight="1">
      <c r="A944" s="53"/>
      <c r="B944" s="53"/>
      <c r="C944" s="53"/>
      <c r="D944" s="53"/>
      <c r="E944" s="53"/>
      <c r="F944" s="53"/>
      <c r="G944" s="53"/>
    </row>
    <row r="945" ht="15.75" customHeight="1">
      <c r="A945" s="53"/>
      <c r="B945" s="53"/>
      <c r="C945" s="53"/>
      <c r="D945" s="53"/>
      <c r="E945" s="53"/>
      <c r="F945" s="53"/>
      <c r="G945" s="53"/>
    </row>
    <row r="946" ht="15.75" customHeight="1">
      <c r="A946" s="53"/>
      <c r="B946" s="53"/>
      <c r="C946" s="53"/>
      <c r="D946" s="53"/>
      <c r="E946" s="53"/>
      <c r="F946" s="53"/>
      <c r="G946" s="53"/>
    </row>
    <row r="947" ht="15.75" customHeight="1">
      <c r="A947" s="53"/>
      <c r="B947" s="53"/>
      <c r="C947" s="53"/>
      <c r="D947" s="53"/>
      <c r="E947" s="53"/>
      <c r="F947" s="53"/>
      <c r="G947" s="53"/>
    </row>
    <row r="948" ht="15.75" customHeight="1">
      <c r="A948" s="53"/>
      <c r="B948" s="53"/>
      <c r="C948" s="53"/>
      <c r="D948" s="53"/>
      <c r="E948" s="53"/>
      <c r="F948" s="53"/>
      <c r="G948" s="53"/>
    </row>
    <row r="949" ht="15.75" customHeight="1">
      <c r="A949" s="53"/>
      <c r="B949" s="53"/>
      <c r="C949" s="53"/>
      <c r="D949" s="53"/>
      <c r="E949" s="53"/>
      <c r="F949" s="53"/>
      <c r="G949" s="53"/>
    </row>
    <row r="950" ht="15.75" customHeight="1">
      <c r="A950" s="53"/>
      <c r="B950" s="53"/>
      <c r="C950" s="53"/>
      <c r="D950" s="53"/>
      <c r="E950" s="53"/>
      <c r="F950" s="53"/>
      <c r="G950" s="53"/>
    </row>
    <row r="951" ht="15.75" customHeight="1">
      <c r="A951" s="53"/>
      <c r="B951" s="53"/>
      <c r="C951" s="53"/>
      <c r="D951" s="53"/>
      <c r="E951" s="53"/>
      <c r="F951" s="53"/>
      <c r="G951" s="53"/>
    </row>
    <row r="952" ht="15.75" customHeight="1">
      <c r="A952" s="53"/>
      <c r="B952" s="53"/>
      <c r="C952" s="53"/>
      <c r="D952" s="53"/>
      <c r="E952" s="53"/>
      <c r="F952" s="53"/>
      <c r="G952" s="53"/>
    </row>
    <row r="953" ht="15.75" customHeight="1">
      <c r="A953" s="53"/>
      <c r="B953" s="53"/>
      <c r="C953" s="53"/>
      <c r="D953" s="53"/>
      <c r="E953" s="53"/>
      <c r="F953" s="53"/>
      <c r="G953" s="53"/>
    </row>
    <row r="954" ht="15.75" customHeight="1">
      <c r="A954" s="53"/>
      <c r="B954" s="53"/>
      <c r="C954" s="53"/>
      <c r="D954" s="53"/>
      <c r="E954" s="53"/>
      <c r="F954" s="53"/>
      <c r="G954" s="53"/>
    </row>
    <row r="955" ht="15.75" customHeight="1">
      <c r="A955" s="53"/>
      <c r="B955" s="53"/>
      <c r="C955" s="53"/>
      <c r="D955" s="53"/>
      <c r="E955" s="53"/>
      <c r="F955" s="53"/>
      <c r="G955" s="53"/>
    </row>
    <row r="956" ht="15.75" customHeight="1">
      <c r="A956" s="53"/>
      <c r="B956" s="53"/>
      <c r="C956" s="53"/>
      <c r="D956" s="53"/>
      <c r="E956" s="53"/>
      <c r="F956" s="53"/>
      <c r="G956" s="53"/>
    </row>
    <row r="957" ht="15.75" customHeight="1">
      <c r="A957" s="53"/>
      <c r="B957" s="53"/>
      <c r="C957" s="53"/>
      <c r="D957" s="53"/>
      <c r="E957" s="53"/>
      <c r="F957" s="53"/>
      <c r="G957" s="53"/>
    </row>
    <row r="958" ht="15.75" customHeight="1">
      <c r="A958" s="53"/>
      <c r="B958" s="53"/>
      <c r="C958" s="53"/>
      <c r="D958" s="53"/>
      <c r="E958" s="53"/>
      <c r="F958" s="53"/>
      <c r="G958" s="53"/>
    </row>
    <row r="959" ht="15.75" customHeight="1">
      <c r="A959" s="53"/>
      <c r="B959" s="53"/>
      <c r="C959" s="53"/>
      <c r="D959" s="53"/>
      <c r="E959" s="53"/>
      <c r="F959" s="53"/>
      <c r="G959" s="53"/>
    </row>
    <row r="960" ht="15.75" customHeight="1">
      <c r="A960" s="53"/>
      <c r="B960" s="53"/>
      <c r="C960" s="53"/>
      <c r="D960" s="53"/>
      <c r="E960" s="53"/>
      <c r="F960" s="53"/>
      <c r="G960" s="53"/>
    </row>
    <row r="961" ht="15.75" customHeight="1">
      <c r="A961" s="53"/>
      <c r="B961" s="53"/>
      <c r="C961" s="53"/>
      <c r="D961" s="53"/>
      <c r="E961" s="53"/>
      <c r="F961" s="53"/>
      <c r="G961" s="53"/>
    </row>
    <row r="962" ht="15.75" customHeight="1">
      <c r="A962" s="53"/>
      <c r="B962" s="53"/>
      <c r="C962" s="53"/>
      <c r="D962" s="53"/>
      <c r="E962" s="53"/>
      <c r="F962" s="53"/>
      <c r="G962" s="53"/>
    </row>
    <row r="963" ht="15.75" customHeight="1">
      <c r="A963" s="53"/>
      <c r="B963" s="53"/>
      <c r="C963" s="53"/>
      <c r="D963" s="53"/>
      <c r="E963" s="53"/>
      <c r="F963" s="53"/>
      <c r="G963" s="53"/>
    </row>
    <row r="964" ht="15.75" customHeight="1">
      <c r="A964" s="53"/>
      <c r="B964" s="53"/>
      <c r="C964" s="53"/>
      <c r="D964" s="53"/>
      <c r="E964" s="53"/>
      <c r="F964" s="53"/>
      <c r="G964" s="53"/>
    </row>
    <row r="965" ht="15.75" customHeight="1">
      <c r="A965" s="53"/>
      <c r="B965" s="53"/>
      <c r="C965" s="53"/>
      <c r="D965" s="53"/>
      <c r="E965" s="53"/>
      <c r="F965" s="53"/>
      <c r="G965" s="53"/>
    </row>
    <row r="966" ht="15.75" customHeight="1">
      <c r="A966" s="53"/>
      <c r="B966" s="53"/>
      <c r="C966" s="53"/>
      <c r="D966" s="53"/>
      <c r="E966" s="53"/>
      <c r="F966" s="53"/>
      <c r="G966" s="53"/>
    </row>
    <row r="967" ht="15.75" customHeight="1">
      <c r="A967" s="53"/>
      <c r="B967" s="53"/>
      <c r="C967" s="53"/>
      <c r="D967" s="53"/>
      <c r="E967" s="53"/>
      <c r="F967" s="53"/>
      <c r="G967" s="53"/>
    </row>
    <row r="968" ht="15.75" customHeight="1">
      <c r="A968" s="53"/>
      <c r="B968" s="53"/>
      <c r="C968" s="53"/>
      <c r="D968" s="53"/>
      <c r="E968" s="53"/>
      <c r="F968" s="53"/>
      <c r="G968" s="53"/>
    </row>
    <row r="969" ht="15.75" customHeight="1">
      <c r="A969" s="53"/>
      <c r="B969" s="53"/>
      <c r="C969" s="53"/>
      <c r="D969" s="53"/>
      <c r="E969" s="53"/>
      <c r="F969" s="53"/>
      <c r="G969" s="53"/>
    </row>
    <row r="970" ht="15.75" customHeight="1">
      <c r="A970" s="53"/>
      <c r="B970" s="53"/>
      <c r="C970" s="53"/>
      <c r="D970" s="53"/>
      <c r="E970" s="53"/>
      <c r="F970" s="53"/>
      <c r="G970" s="53"/>
    </row>
    <row r="971" ht="15.75" customHeight="1">
      <c r="A971" s="53"/>
      <c r="B971" s="53"/>
      <c r="C971" s="53"/>
      <c r="D971" s="53"/>
      <c r="E971" s="53"/>
      <c r="F971" s="53"/>
      <c r="G971" s="53"/>
    </row>
    <row r="972" ht="15.75" customHeight="1">
      <c r="A972" s="53"/>
      <c r="B972" s="53"/>
      <c r="C972" s="53"/>
      <c r="D972" s="53"/>
      <c r="E972" s="53"/>
      <c r="F972" s="53"/>
      <c r="G972" s="53"/>
    </row>
    <row r="973" ht="15.75" customHeight="1">
      <c r="A973" s="53"/>
      <c r="B973" s="53"/>
      <c r="C973" s="53"/>
      <c r="D973" s="53"/>
      <c r="E973" s="53"/>
      <c r="F973" s="53"/>
      <c r="G973" s="53"/>
    </row>
    <row r="974" ht="15.75" customHeight="1">
      <c r="A974" s="53"/>
      <c r="B974" s="53"/>
      <c r="C974" s="53"/>
      <c r="D974" s="53"/>
      <c r="E974" s="53"/>
      <c r="F974" s="53"/>
      <c r="G974" s="53"/>
    </row>
    <row r="975" ht="15.75" customHeight="1">
      <c r="A975" s="53"/>
      <c r="B975" s="53"/>
      <c r="C975" s="53"/>
      <c r="D975" s="53"/>
      <c r="E975" s="53"/>
      <c r="F975" s="53"/>
      <c r="G975" s="53"/>
    </row>
    <row r="976" ht="15.75" customHeight="1">
      <c r="A976" s="53"/>
      <c r="B976" s="53"/>
      <c r="C976" s="53"/>
      <c r="D976" s="53"/>
      <c r="E976" s="53"/>
      <c r="F976" s="53"/>
      <c r="G976" s="53"/>
    </row>
    <row r="977" ht="15.75" customHeight="1">
      <c r="A977" s="53"/>
      <c r="B977" s="53"/>
      <c r="C977" s="53"/>
      <c r="D977" s="53"/>
      <c r="E977" s="53"/>
      <c r="F977" s="53"/>
      <c r="G977" s="53"/>
    </row>
    <row r="978" ht="15.75" customHeight="1">
      <c r="A978" s="53"/>
      <c r="B978" s="53"/>
      <c r="C978" s="53"/>
      <c r="D978" s="53"/>
      <c r="E978" s="53"/>
      <c r="F978" s="53"/>
      <c r="G978" s="53"/>
    </row>
    <row r="979" ht="15.75" customHeight="1">
      <c r="A979" s="53"/>
      <c r="B979" s="53"/>
      <c r="C979" s="53"/>
      <c r="D979" s="53"/>
      <c r="E979" s="53"/>
      <c r="F979" s="53"/>
      <c r="G979" s="53"/>
    </row>
    <row r="980" ht="15.75" customHeight="1">
      <c r="A980" s="53"/>
      <c r="B980" s="53"/>
      <c r="C980" s="53"/>
      <c r="D980" s="53"/>
      <c r="E980" s="53"/>
      <c r="F980" s="53"/>
      <c r="G980" s="53"/>
    </row>
    <row r="981" ht="15.75" customHeight="1">
      <c r="A981" s="53"/>
      <c r="B981" s="53"/>
      <c r="C981" s="53"/>
      <c r="D981" s="53"/>
      <c r="E981" s="53"/>
      <c r="F981" s="53"/>
      <c r="G981" s="53"/>
    </row>
    <row r="982" ht="15.75" customHeight="1">
      <c r="A982" s="53"/>
      <c r="B982" s="53"/>
      <c r="C982" s="53"/>
      <c r="D982" s="53"/>
      <c r="E982" s="53"/>
      <c r="F982" s="53"/>
      <c r="G982" s="53"/>
    </row>
    <row r="983" ht="15.75" customHeight="1">
      <c r="A983" s="53"/>
      <c r="B983" s="53"/>
      <c r="C983" s="53"/>
      <c r="D983" s="53"/>
      <c r="E983" s="53"/>
      <c r="F983" s="53"/>
      <c r="G983" s="53"/>
    </row>
    <row r="984" ht="15.75" customHeight="1">
      <c r="A984" s="53"/>
      <c r="B984" s="53"/>
      <c r="C984" s="53"/>
      <c r="D984" s="53"/>
      <c r="E984" s="53"/>
      <c r="F984" s="53"/>
      <c r="G984" s="53"/>
    </row>
    <row r="985" ht="15.75" customHeight="1">
      <c r="A985" s="53"/>
      <c r="B985" s="53"/>
      <c r="C985" s="53"/>
      <c r="D985" s="53"/>
      <c r="E985" s="53"/>
      <c r="F985" s="53"/>
      <c r="G985" s="53"/>
    </row>
    <row r="986" ht="15.75" customHeight="1">
      <c r="A986" s="53"/>
      <c r="B986" s="53"/>
      <c r="C986" s="53"/>
      <c r="D986" s="53"/>
      <c r="E986" s="53"/>
      <c r="F986" s="53"/>
      <c r="G986" s="53"/>
    </row>
    <row r="987" ht="15.75" customHeight="1">
      <c r="A987" s="53"/>
      <c r="B987" s="53"/>
      <c r="C987" s="53"/>
      <c r="D987" s="53"/>
      <c r="E987" s="53"/>
      <c r="F987" s="53"/>
      <c r="G987" s="53"/>
    </row>
    <row r="988" ht="15.75" customHeight="1">
      <c r="A988" s="53"/>
      <c r="B988" s="53"/>
      <c r="C988" s="53"/>
      <c r="D988" s="53"/>
      <c r="E988" s="53"/>
      <c r="F988" s="53"/>
      <c r="G988" s="53"/>
    </row>
    <row r="989" ht="15.75" customHeight="1">
      <c r="A989" s="53"/>
      <c r="B989" s="53"/>
      <c r="C989" s="53"/>
      <c r="D989" s="53"/>
      <c r="E989" s="53"/>
      <c r="F989" s="53"/>
      <c r="G989" s="53"/>
    </row>
    <row r="990" ht="15.75" customHeight="1">
      <c r="A990" s="53"/>
      <c r="B990" s="53"/>
      <c r="C990" s="53"/>
      <c r="D990" s="53"/>
      <c r="E990" s="53"/>
      <c r="F990" s="53"/>
      <c r="G990" s="53"/>
    </row>
    <row r="991" ht="15.75" customHeight="1">
      <c r="A991" s="53"/>
      <c r="B991" s="53"/>
      <c r="C991" s="53"/>
      <c r="D991" s="53"/>
      <c r="E991" s="53"/>
      <c r="F991" s="53"/>
      <c r="G991" s="53"/>
    </row>
    <row r="992" ht="15.75" customHeight="1">
      <c r="A992" s="53"/>
      <c r="B992" s="53"/>
      <c r="C992" s="53"/>
      <c r="D992" s="53"/>
      <c r="E992" s="53"/>
      <c r="F992" s="53"/>
      <c r="G992" s="53"/>
    </row>
    <row r="993" ht="15.75" customHeight="1">
      <c r="A993" s="53"/>
      <c r="B993" s="53"/>
      <c r="C993" s="53"/>
      <c r="D993" s="53"/>
      <c r="E993" s="53"/>
      <c r="F993" s="53"/>
      <c r="G993" s="53"/>
    </row>
    <row r="994" ht="15.75" customHeight="1">
      <c r="A994" s="53"/>
      <c r="B994" s="53"/>
      <c r="C994" s="53"/>
      <c r="D994" s="53"/>
      <c r="E994" s="53"/>
      <c r="F994" s="53"/>
      <c r="G994" s="53"/>
    </row>
  </sheetData>
  <mergeCells count="10">
    <mergeCell ref="A60:G60"/>
    <mergeCell ref="A67:G67"/>
    <mergeCell ref="A79:G79"/>
    <mergeCell ref="A1:G1"/>
    <mergeCell ref="A2:G2"/>
    <mergeCell ref="A3:G3"/>
    <mergeCell ref="A4:G4"/>
    <mergeCell ref="A18:G18"/>
    <mergeCell ref="A30:G30"/>
    <mergeCell ref="A45:G4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5.75"/>
    <col customWidth="1" min="3" max="3" width="16.63"/>
  </cols>
  <sheetData>
    <row r="1">
      <c r="A1" s="186" t="s">
        <v>212</v>
      </c>
      <c r="B1" s="187"/>
      <c r="C1" s="187"/>
      <c r="D1" s="187"/>
      <c r="E1" s="187"/>
      <c r="F1" s="187"/>
      <c r="G1" s="187"/>
      <c r="H1" s="187"/>
      <c r="I1" s="187"/>
      <c r="J1" s="188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</row>
    <row r="2">
      <c r="A2" s="189"/>
      <c r="B2" s="190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</row>
    <row r="3">
      <c r="A3" s="191" t="s">
        <v>213</v>
      </c>
      <c r="B3" s="187"/>
      <c r="C3" s="187"/>
      <c r="D3" s="187"/>
      <c r="E3" s="187"/>
      <c r="F3" s="187"/>
      <c r="G3" s="187"/>
      <c r="H3" s="187"/>
      <c r="I3" s="187"/>
      <c r="J3" s="188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>
      <c r="A4" s="192"/>
      <c r="B4" s="193" t="s">
        <v>214</v>
      </c>
      <c r="C4" s="194" t="s">
        <v>105</v>
      </c>
      <c r="D4" s="194" t="s">
        <v>215</v>
      </c>
      <c r="E4" s="194" t="s">
        <v>4</v>
      </c>
      <c r="F4" s="194" t="s">
        <v>216</v>
      </c>
      <c r="G4" s="194" t="s">
        <v>217</v>
      </c>
      <c r="H4" s="194" t="s">
        <v>218</v>
      </c>
      <c r="I4" s="194" t="s">
        <v>219</v>
      </c>
      <c r="J4" s="195" t="s">
        <v>220</v>
      </c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>
      <c r="A5" s="196"/>
      <c r="B5" s="197">
        <v>1.0</v>
      </c>
      <c r="C5" s="198" t="s">
        <v>221</v>
      </c>
      <c r="D5" s="199"/>
      <c r="E5" s="199"/>
      <c r="F5" s="199"/>
      <c r="G5" s="199"/>
      <c r="H5" s="199"/>
      <c r="I5" s="199"/>
      <c r="J5" s="200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</row>
    <row r="6">
      <c r="A6" s="201"/>
      <c r="B6" s="202"/>
      <c r="C6" s="203" t="s">
        <v>57</v>
      </c>
      <c r="D6" s="204">
        <v>1000.0</v>
      </c>
      <c r="E6" s="205" t="s">
        <v>14</v>
      </c>
      <c r="F6" s="204">
        <v>34.0</v>
      </c>
      <c r="G6" s="204">
        <f t="shared" ref="G6:G21" si="1">IFERROR(F6/D6,0)</f>
        <v>0.034</v>
      </c>
      <c r="H6" s="204">
        <v>10000.0</v>
      </c>
      <c r="I6" s="204">
        <f t="shared" ref="I6:I21" si="2">IFERROR(G6*H6,0)</f>
        <v>340</v>
      </c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</row>
    <row r="7">
      <c r="A7" s="206"/>
      <c r="B7" s="207"/>
      <c r="C7" s="208" t="s">
        <v>58</v>
      </c>
      <c r="D7" s="209">
        <v>1000.0</v>
      </c>
      <c r="E7" s="210" t="s">
        <v>14</v>
      </c>
      <c r="F7" s="209">
        <v>29.0</v>
      </c>
      <c r="G7" s="209">
        <f t="shared" si="1"/>
        <v>0.029</v>
      </c>
      <c r="H7" s="209">
        <v>2000.0</v>
      </c>
      <c r="I7" s="209">
        <f t="shared" si="2"/>
        <v>58</v>
      </c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</row>
    <row r="8">
      <c r="A8" s="201"/>
      <c r="B8" s="202"/>
      <c r="C8" s="203" t="s">
        <v>43</v>
      </c>
      <c r="D8" s="204">
        <v>1000.0</v>
      </c>
      <c r="E8" s="205" t="s">
        <v>14</v>
      </c>
      <c r="F8" s="204">
        <v>87.0</v>
      </c>
      <c r="G8" s="204">
        <f t="shared" si="1"/>
        <v>0.087</v>
      </c>
      <c r="H8" s="204">
        <v>500.0</v>
      </c>
      <c r="I8" s="204">
        <f t="shared" si="2"/>
        <v>43.5</v>
      </c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</row>
    <row r="9">
      <c r="A9" s="206"/>
      <c r="B9" s="207"/>
      <c r="C9" s="208" t="s">
        <v>44</v>
      </c>
      <c r="D9" s="209">
        <v>1000.0</v>
      </c>
      <c r="E9" s="210" t="s">
        <v>14</v>
      </c>
      <c r="F9" s="209">
        <v>90.0</v>
      </c>
      <c r="G9" s="209">
        <f t="shared" si="1"/>
        <v>0.09</v>
      </c>
      <c r="H9" s="209">
        <v>500.0</v>
      </c>
      <c r="I9" s="209">
        <f t="shared" si="2"/>
        <v>45</v>
      </c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</row>
    <row r="10">
      <c r="A10" s="201"/>
      <c r="B10" s="202"/>
      <c r="C10" s="203" t="s">
        <v>45</v>
      </c>
      <c r="D10" s="204">
        <v>1000.0</v>
      </c>
      <c r="E10" s="205" t="s">
        <v>14</v>
      </c>
      <c r="F10" s="204">
        <v>110.0</v>
      </c>
      <c r="G10" s="204">
        <f t="shared" si="1"/>
        <v>0.11</v>
      </c>
      <c r="H10" s="204">
        <v>150.0</v>
      </c>
      <c r="I10" s="204">
        <f t="shared" si="2"/>
        <v>16.5</v>
      </c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</row>
    <row r="11">
      <c r="A11" s="206"/>
      <c r="B11" s="207"/>
      <c r="C11" s="208" t="s">
        <v>222</v>
      </c>
      <c r="D11" s="209">
        <v>1000.0</v>
      </c>
      <c r="E11" s="210" t="s">
        <v>14</v>
      </c>
      <c r="F11" s="209">
        <v>80.0</v>
      </c>
      <c r="G11" s="209">
        <f t="shared" si="1"/>
        <v>0.08</v>
      </c>
      <c r="H11" s="209">
        <v>500.0</v>
      </c>
      <c r="I11" s="209">
        <f t="shared" si="2"/>
        <v>40</v>
      </c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</row>
    <row r="12">
      <c r="A12" s="201"/>
      <c r="B12" s="202"/>
      <c r="C12" s="203" t="s">
        <v>39</v>
      </c>
      <c r="D12" s="204">
        <v>1000.0</v>
      </c>
      <c r="E12" s="205" t="s">
        <v>14</v>
      </c>
      <c r="F12" s="204">
        <v>60.0</v>
      </c>
      <c r="G12" s="204">
        <f t="shared" si="1"/>
        <v>0.06</v>
      </c>
      <c r="H12" s="204">
        <v>3000.0</v>
      </c>
      <c r="I12" s="204">
        <f t="shared" si="2"/>
        <v>180</v>
      </c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</row>
    <row r="13">
      <c r="A13" s="206"/>
      <c r="B13" s="207"/>
      <c r="C13" s="208" t="s">
        <v>223</v>
      </c>
      <c r="D13" s="209">
        <v>1000.0</v>
      </c>
      <c r="E13" s="210" t="s">
        <v>14</v>
      </c>
      <c r="F13" s="209">
        <v>90.0</v>
      </c>
      <c r="G13" s="209">
        <f t="shared" si="1"/>
        <v>0.09</v>
      </c>
      <c r="H13" s="209">
        <v>120.0</v>
      </c>
      <c r="I13" s="209">
        <f t="shared" si="2"/>
        <v>10.8</v>
      </c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</row>
    <row r="14">
      <c r="A14" s="201"/>
      <c r="B14" s="202"/>
      <c r="C14" s="203" t="s">
        <v>55</v>
      </c>
      <c r="D14" s="204">
        <v>1000.0</v>
      </c>
      <c r="E14" s="205" t="s">
        <v>14</v>
      </c>
      <c r="F14" s="204">
        <v>200.0</v>
      </c>
      <c r="G14" s="204">
        <f t="shared" si="1"/>
        <v>0.2</v>
      </c>
      <c r="H14" s="204">
        <v>500.0</v>
      </c>
      <c r="I14" s="204">
        <f t="shared" si="2"/>
        <v>100</v>
      </c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</row>
    <row r="15">
      <c r="A15" s="206"/>
      <c r="B15" s="207"/>
      <c r="C15" s="208" t="s">
        <v>54</v>
      </c>
      <c r="D15" s="209">
        <v>1000.0</v>
      </c>
      <c r="E15" s="210" t="s">
        <v>14</v>
      </c>
      <c r="F15" s="209">
        <v>200.0</v>
      </c>
      <c r="G15" s="209">
        <f t="shared" si="1"/>
        <v>0.2</v>
      </c>
      <c r="H15" s="209">
        <v>500.0</v>
      </c>
      <c r="I15" s="209">
        <f t="shared" si="2"/>
        <v>100</v>
      </c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</row>
    <row r="16">
      <c r="A16" s="206"/>
      <c r="B16" s="207"/>
      <c r="C16" s="211" t="s">
        <v>81</v>
      </c>
      <c r="D16" s="212">
        <v>1000.0</v>
      </c>
      <c r="E16" s="213" t="s">
        <v>14</v>
      </c>
      <c r="F16" s="212">
        <v>30.0</v>
      </c>
      <c r="G16" s="209">
        <f t="shared" si="1"/>
        <v>0.03</v>
      </c>
      <c r="H16" s="212">
        <v>600.0</v>
      </c>
      <c r="I16" s="209">
        <f t="shared" si="2"/>
        <v>18</v>
      </c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</row>
    <row r="17">
      <c r="A17" s="201"/>
      <c r="B17" s="202"/>
      <c r="C17" s="203" t="s">
        <v>69</v>
      </c>
      <c r="D17" s="204">
        <v>1500.0</v>
      </c>
      <c r="E17" s="205" t="s">
        <v>14</v>
      </c>
      <c r="F17" s="204">
        <v>57.0</v>
      </c>
      <c r="G17" s="204">
        <f t="shared" si="1"/>
        <v>0.038</v>
      </c>
      <c r="H17" s="204">
        <v>400.0</v>
      </c>
      <c r="I17" s="204">
        <f t="shared" si="2"/>
        <v>15.2</v>
      </c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</row>
    <row r="18">
      <c r="A18" s="206"/>
      <c r="B18" s="207"/>
      <c r="C18" s="208" t="s">
        <v>85</v>
      </c>
      <c r="D18" s="209">
        <v>1000.0</v>
      </c>
      <c r="E18" s="210" t="s">
        <v>14</v>
      </c>
      <c r="F18" s="209">
        <v>30.0</v>
      </c>
      <c r="G18" s="209">
        <f t="shared" si="1"/>
        <v>0.03</v>
      </c>
      <c r="H18" s="209">
        <v>400.0</v>
      </c>
      <c r="I18" s="209">
        <f t="shared" si="2"/>
        <v>12</v>
      </c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</row>
    <row r="19">
      <c r="A19" s="201"/>
      <c r="B19" s="202"/>
      <c r="C19" s="203" t="s">
        <v>224</v>
      </c>
      <c r="D19" s="204">
        <v>1000.0</v>
      </c>
      <c r="E19" s="205" t="s">
        <v>14</v>
      </c>
      <c r="F19" s="204">
        <v>250.0</v>
      </c>
      <c r="G19" s="204">
        <f t="shared" si="1"/>
        <v>0.25</v>
      </c>
      <c r="H19" s="204">
        <v>50.0</v>
      </c>
      <c r="I19" s="204">
        <f t="shared" si="2"/>
        <v>12.5</v>
      </c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</row>
    <row r="20">
      <c r="A20" s="206"/>
      <c r="B20" s="207"/>
      <c r="C20" s="208" t="s">
        <v>100</v>
      </c>
      <c r="D20" s="209">
        <v>1000.0</v>
      </c>
      <c r="E20" s="210" t="s">
        <v>14</v>
      </c>
      <c r="F20" s="209">
        <v>50.0</v>
      </c>
      <c r="G20" s="209">
        <f t="shared" si="1"/>
        <v>0.05</v>
      </c>
      <c r="H20" s="209">
        <v>500.0</v>
      </c>
      <c r="I20" s="209">
        <f t="shared" si="2"/>
        <v>25</v>
      </c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</row>
    <row r="21">
      <c r="A21" s="201"/>
      <c r="B21" s="202"/>
      <c r="C21" s="203" t="s">
        <v>91</v>
      </c>
      <c r="D21" s="204">
        <v>500.0</v>
      </c>
      <c r="E21" s="205" t="s">
        <v>14</v>
      </c>
      <c r="F21" s="204">
        <v>35.0</v>
      </c>
      <c r="G21" s="204">
        <f t="shared" si="1"/>
        <v>0.07</v>
      </c>
      <c r="H21" s="204">
        <v>120.0</v>
      </c>
      <c r="I21" s="204">
        <f t="shared" si="2"/>
        <v>8.4</v>
      </c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</row>
    <row r="22">
      <c r="A22" s="214"/>
      <c r="B22" s="215"/>
      <c r="C22" s="216" t="s">
        <v>225</v>
      </c>
      <c r="D22" s="217"/>
      <c r="E22" s="217"/>
      <c r="F22" s="217"/>
      <c r="G22" s="217"/>
      <c r="H22" s="218"/>
      <c r="I22" s="219">
        <f>SUM(I6:I21)*1.3</f>
        <v>1332.37</v>
      </c>
      <c r="J22" s="214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</row>
    <row r="23">
      <c r="A23" s="220"/>
      <c r="B23" s="221"/>
      <c r="C23" s="222" t="s">
        <v>226</v>
      </c>
      <c r="D23" s="217"/>
      <c r="E23" s="217"/>
      <c r="F23" s="217"/>
      <c r="G23" s="217"/>
      <c r="H23" s="218"/>
      <c r="I23" s="223"/>
      <c r="J23" s="224" t="str">
        <f>I22/I23</f>
        <v>#DIV/0!</v>
      </c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</row>
    <row r="24">
      <c r="A24" s="196"/>
      <c r="B24" s="197">
        <v>2.0</v>
      </c>
      <c r="C24" s="198" t="s">
        <v>227</v>
      </c>
      <c r="D24" s="199"/>
      <c r="E24" s="199"/>
      <c r="F24" s="199"/>
      <c r="G24" s="199"/>
      <c r="H24" s="199"/>
      <c r="I24" s="199"/>
      <c r="J24" s="200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</row>
    <row r="25">
      <c r="A25" s="201"/>
      <c r="B25" s="202"/>
      <c r="C25" s="203" t="s">
        <v>38</v>
      </c>
      <c r="D25" s="204">
        <v>1000.0</v>
      </c>
      <c r="E25" s="205" t="s">
        <v>14</v>
      </c>
      <c r="F25" s="204">
        <v>35.0</v>
      </c>
      <c r="G25" s="204">
        <f t="shared" ref="G25:G32" si="3">IFERROR(F25/D25,0)</f>
        <v>0.035</v>
      </c>
      <c r="H25" s="204">
        <v>500.0</v>
      </c>
      <c r="I25" s="204">
        <f t="shared" ref="I25:I32" si="4">IFERROR(G25*H25,0)</f>
        <v>17.5</v>
      </c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</row>
    <row r="26">
      <c r="A26" s="206"/>
      <c r="B26" s="207"/>
      <c r="C26" s="208" t="s">
        <v>37</v>
      </c>
      <c r="D26" s="209">
        <v>1000.0</v>
      </c>
      <c r="E26" s="210" t="s">
        <v>14</v>
      </c>
      <c r="F26" s="209">
        <v>29.0</v>
      </c>
      <c r="G26" s="209">
        <f t="shared" si="3"/>
        <v>0.029</v>
      </c>
      <c r="H26" s="209">
        <v>160.0</v>
      </c>
      <c r="I26" s="209">
        <f t="shared" si="4"/>
        <v>4.64</v>
      </c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</row>
    <row r="27">
      <c r="A27" s="201"/>
      <c r="B27" s="202"/>
      <c r="C27" s="203" t="s">
        <v>55</v>
      </c>
      <c r="D27" s="204">
        <v>1000.0</v>
      </c>
      <c r="E27" s="205" t="s">
        <v>14</v>
      </c>
      <c r="F27" s="204">
        <v>200.0</v>
      </c>
      <c r="G27" s="204">
        <f t="shared" si="3"/>
        <v>0.2</v>
      </c>
      <c r="H27" s="204">
        <v>30.0</v>
      </c>
      <c r="I27" s="204">
        <f t="shared" si="4"/>
        <v>6</v>
      </c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</row>
    <row r="28">
      <c r="A28" s="206"/>
      <c r="B28" s="207"/>
      <c r="C28" s="208" t="s">
        <v>54</v>
      </c>
      <c r="D28" s="209">
        <v>1000.0</v>
      </c>
      <c r="E28" s="210" t="s">
        <v>14</v>
      </c>
      <c r="F28" s="209">
        <v>200.0</v>
      </c>
      <c r="G28" s="209">
        <f t="shared" si="3"/>
        <v>0.2</v>
      </c>
      <c r="H28" s="209">
        <v>50.0</v>
      </c>
      <c r="I28" s="209">
        <f t="shared" si="4"/>
        <v>10</v>
      </c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</row>
    <row r="29">
      <c r="A29" s="201"/>
      <c r="B29" s="202"/>
      <c r="C29" s="203" t="s">
        <v>85</v>
      </c>
      <c r="D29" s="204">
        <v>1000.0</v>
      </c>
      <c r="E29" s="205" t="s">
        <v>14</v>
      </c>
      <c r="F29" s="204">
        <v>30.0</v>
      </c>
      <c r="G29" s="204">
        <f t="shared" si="3"/>
        <v>0.03</v>
      </c>
      <c r="H29" s="204">
        <v>40.0</v>
      </c>
      <c r="I29" s="204">
        <f t="shared" si="4"/>
        <v>1.2</v>
      </c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</row>
    <row r="30">
      <c r="A30" s="206"/>
      <c r="B30" s="207"/>
      <c r="C30" s="208" t="s">
        <v>69</v>
      </c>
      <c r="D30" s="209">
        <v>1500.0</v>
      </c>
      <c r="E30" s="210" t="s">
        <v>14</v>
      </c>
      <c r="F30" s="209">
        <v>57.0</v>
      </c>
      <c r="G30" s="209">
        <f t="shared" si="3"/>
        <v>0.038</v>
      </c>
      <c r="H30" s="209">
        <v>7.0</v>
      </c>
      <c r="I30" s="209">
        <f t="shared" si="4"/>
        <v>0.266</v>
      </c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</row>
    <row r="31">
      <c r="A31" s="201"/>
      <c r="B31" s="202"/>
      <c r="C31" s="203" t="s">
        <v>80</v>
      </c>
      <c r="D31" s="204">
        <v>1000.0</v>
      </c>
      <c r="E31" s="205" t="s">
        <v>14</v>
      </c>
      <c r="F31" s="204">
        <v>110.0</v>
      </c>
      <c r="G31" s="204">
        <f t="shared" si="3"/>
        <v>0.11</v>
      </c>
      <c r="H31" s="204">
        <v>7.0</v>
      </c>
      <c r="I31" s="204">
        <f t="shared" si="4"/>
        <v>0.77</v>
      </c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</row>
    <row r="32">
      <c r="A32" s="206"/>
      <c r="B32" s="207"/>
      <c r="C32" s="208" t="s">
        <v>83</v>
      </c>
      <c r="D32" s="209">
        <v>650.0</v>
      </c>
      <c r="E32" s="210" t="s">
        <v>84</v>
      </c>
      <c r="F32" s="209">
        <v>165.0</v>
      </c>
      <c r="G32" s="209">
        <f t="shared" si="3"/>
        <v>0.2538461538</v>
      </c>
      <c r="H32" s="209">
        <v>3.0</v>
      </c>
      <c r="I32" s="209">
        <f t="shared" si="4"/>
        <v>0.7615384615</v>
      </c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</row>
    <row r="33">
      <c r="A33" s="214"/>
      <c r="B33" s="215"/>
      <c r="C33" s="216" t="s">
        <v>225</v>
      </c>
      <c r="D33" s="217"/>
      <c r="E33" s="217"/>
      <c r="F33" s="217"/>
      <c r="G33" s="217"/>
      <c r="H33" s="218"/>
      <c r="I33" s="219">
        <f>SUM(I25:I32)*1.3</f>
        <v>53.4788</v>
      </c>
      <c r="J33" s="214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</row>
    <row r="34">
      <c r="A34" s="220"/>
      <c r="B34" s="221"/>
      <c r="C34" s="222" t="s">
        <v>228</v>
      </c>
      <c r="D34" s="217"/>
      <c r="E34" s="217"/>
      <c r="F34" s="217"/>
      <c r="G34" s="217"/>
      <c r="H34" s="218"/>
      <c r="I34" s="223"/>
      <c r="J34" s="224" t="str">
        <f>I33/I34</f>
        <v>#DIV/0!</v>
      </c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</row>
    <row r="35">
      <c r="A35" s="196"/>
      <c r="B35" s="197">
        <v>3.0</v>
      </c>
      <c r="C35" s="198" t="s">
        <v>48</v>
      </c>
      <c r="D35" s="199"/>
      <c r="E35" s="199"/>
      <c r="F35" s="199"/>
      <c r="G35" s="199"/>
      <c r="H35" s="199"/>
      <c r="I35" s="199"/>
      <c r="J35" s="200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</row>
    <row r="36">
      <c r="A36" s="201"/>
      <c r="B36" s="202"/>
      <c r="C36" s="203" t="s">
        <v>48</v>
      </c>
      <c r="D36" s="204">
        <v>3000.0</v>
      </c>
      <c r="E36" s="205" t="s">
        <v>14</v>
      </c>
      <c r="F36" s="204">
        <v>135.0</v>
      </c>
      <c r="G36" s="204">
        <f t="shared" ref="G36:G42" si="5">IFERROR(F36/D36,0)</f>
        <v>0.045</v>
      </c>
      <c r="H36" s="204">
        <v>1000.0</v>
      </c>
      <c r="I36" s="204">
        <f t="shared" ref="I36:I42" si="6">IFERROR(G36*H36,0)</f>
        <v>45</v>
      </c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</row>
    <row r="37">
      <c r="A37" s="206"/>
      <c r="B37" s="207"/>
      <c r="C37" s="208" t="s">
        <v>55</v>
      </c>
      <c r="D37" s="209">
        <v>1000.0</v>
      </c>
      <c r="E37" s="210" t="s">
        <v>14</v>
      </c>
      <c r="F37" s="209">
        <v>200.0</v>
      </c>
      <c r="G37" s="209">
        <f t="shared" si="5"/>
        <v>0.2</v>
      </c>
      <c r="H37" s="209">
        <v>45.0</v>
      </c>
      <c r="I37" s="209">
        <f t="shared" si="6"/>
        <v>9</v>
      </c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</row>
    <row r="38">
      <c r="A38" s="201"/>
      <c r="B38" s="202"/>
      <c r="C38" s="203" t="s">
        <v>54</v>
      </c>
      <c r="D38" s="204">
        <v>1000.0</v>
      </c>
      <c r="E38" s="205" t="s">
        <v>14</v>
      </c>
      <c r="F38" s="204">
        <v>200.0</v>
      </c>
      <c r="G38" s="204">
        <f t="shared" si="5"/>
        <v>0.2</v>
      </c>
      <c r="H38" s="204">
        <v>50.0</v>
      </c>
      <c r="I38" s="204">
        <f t="shared" si="6"/>
        <v>10</v>
      </c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</row>
    <row r="39">
      <c r="A39" s="206"/>
      <c r="B39" s="207"/>
      <c r="C39" s="208" t="s">
        <v>80</v>
      </c>
      <c r="D39" s="209">
        <v>1000.0</v>
      </c>
      <c r="E39" s="210" t="s">
        <v>14</v>
      </c>
      <c r="F39" s="209">
        <v>110.0</v>
      </c>
      <c r="G39" s="209">
        <f t="shared" si="5"/>
        <v>0.11</v>
      </c>
      <c r="H39" s="209">
        <v>7.0</v>
      </c>
      <c r="I39" s="209">
        <f t="shared" si="6"/>
        <v>0.77</v>
      </c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</row>
    <row r="40">
      <c r="A40" s="201"/>
      <c r="B40" s="202"/>
      <c r="C40" s="203" t="s">
        <v>229</v>
      </c>
      <c r="D40" s="204">
        <v>10000.0</v>
      </c>
      <c r="E40" s="205" t="s">
        <v>14</v>
      </c>
      <c r="F40" s="204">
        <v>1300.0</v>
      </c>
      <c r="G40" s="204">
        <f t="shared" si="5"/>
        <v>0.13</v>
      </c>
      <c r="H40" s="204">
        <v>7.0</v>
      </c>
      <c r="I40" s="204">
        <f t="shared" si="6"/>
        <v>0.91</v>
      </c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</row>
    <row r="41">
      <c r="A41" s="206"/>
      <c r="B41" s="207"/>
      <c r="C41" s="208" t="s">
        <v>224</v>
      </c>
      <c r="D41" s="209">
        <v>1000.0</v>
      </c>
      <c r="E41" s="210" t="s">
        <v>14</v>
      </c>
      <c r="F41" s="209">
        <v>250.0</v>
      </c>
      <c r="G41" s="209">
        <f t="shared" si="5"/>
        <v>0.25</v>
      </c>
      <c r="H41" s="209">
        <v>13.0</v>
      </c>
      <c r="I41" s="209">
        <f t="shared" si="6"/>
        <v>3.25</v>
      </c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</row>
    <row r="42">
      <c r="A42" s="201"/>
      <c r="B42" s="202"/>
      <c r="C42" s="203" t="s">
        <v>81</v>
      </c>
      <c r="D42" s="204">
        <v>1000.0</v>
      </c>
      <c r="E42" s="205" t="s">
        <v>14</v>
      </c>
      <c r="F42" s="204">
        <v>15.0</v>
      </c>
      <c r="G42" s="204">
        <f t="shared" si="5"/>
        <v>0.015</v>
      </c>
      <c r="H42" s="204">
        <v>0.5</v>
      </c>
      <c r="I42" s="204">
        <f t="shared" si="6"/>
        <v>0.0075</v>
      </c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</row>
    <row r="43">
      <c r="A43" s="214"/>
      <c r="B43" s="215"/>
      <c r="C43" s="216" t="s">
        <v>225</v>
      </c>
      <c r="D43" s="217"/>
      <c r="E43" s="217"/>
      <c r="F43" s="217"/>
      <c r="G43" s="217"/>
      <c r="H43" s="218"/>
      <c r="I43" s="219">
        <f>SUM(I36:I42)*1.3</f>
        <v>89.61875</v>
      </c>
      <c r="J43" s="214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</row>
    <row r="44">
      <c r="A44" s="220"/>
      <c r="B44" s="221"/>
      <c r="C44" s="222" t="s">
        <v>230</v>
      </c>
      <c r="D44" s="217"/>
      <c r="E44" s="217"/>
      <c r="F44" s="217"/>
      <c r="G44" s="217"/>
      <c r="H44" s="218"/>
      <c r="I44" s="223"/>
      <c r="J44" s="220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</row>
    <row r="45">
      <c r="A45" s="196"/>
      <c r="B45" s="197">
        <v>4.0</v>
      </c>
      <c r="C45" s="198" t="s">
        <v>231</v>
      </c>
      <c r="D45" s="199"/>
      <c r="E45" s="199"/>
      <c r="F45" s="199"/>
      <c r="G45" s="199"/>
      <c r="H45" s="199"/>
      <c r="I45" s="199"/>
      <c r="J45" s="200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</row>
    <row r="46">
      <c r="A46" s="201"/>
      <c r="B46" s="202"/>
      <c r="C46" s="203" t="s">
        <v>62</v>
      </c>
      <c r="D46" s="204">
        <v>1000.0</v>
      </c>
      <c r="E46" s="205" t="s">
        <v>14</v>
      </c>
      <c r="F46" s="204">
        <v>90.0</v>
      </c>
      <c r="G46" s="204">
        <f t="shared" ref="G46:G49" si="7">IFERROR(F46/D46,0)</f>
        <v>0.09</v>
      </c>
      <c r="H46" s="204">
        <v>500.0</v>
      </c>
      <c r="I46" s="204">
        <f t="shared" ref="I46:I49" si="8">IFERROR(G46*H46,0)</f>
        <v>45</v>
      </c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</row>
    <row r="47">
      <c r="A47" s="206"/>
      <c r="B47" s="207"/>
      <c r="C47" s="208" t="s">
        <v>37</v>
      </c>
      <c r="D47" s="209">
        <v>1000.0</v>
      </c>
      <c r="E47" s="210" t="s">
        <v>14</v>
      </c>
      <c r="F47" s="209">
        <v>29.0</v>
      </c>
      <c r="G47" s="209">
        <f t="shared" si="7"/>
        <v>0.029</v>
      </c>
      <c r="H47" s="209">
        <v>160.0</v>
      </c>
      <c r="I47" s="209">
        <f t="shared" si="8"/>
        <v>4.64</v>
      </c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</row>
    <row r="48">
      <c r="A48" s="201"/>
      <c r="B48" s="202"/>
      <c r="C48" s="203" t="s">
        <v>59</v>
      </c>
      <c r="D48" s="204">
        <v>1000.0</v>
      </c>
      <c r="E48" s="205" t="s">
        <v>14</v>
      </c>
      <c r="F48" s="204">
        <v>100.0</v>
      </c>
      <c r="G48" s="204">
        <f t="shared" si="7"/>
        <v>0.1</v>
      </c>
      <c r="H48" s="204">
        <v>15.0</v>
      </c>
      <c r="I48" s="204">
        <f t="shared" si="8"/>
        <v>1.5</v>
      </c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</row>
    <row r="49">
      <c r="A49" s="206"/>
      <c r="B49" s="207"/>
      <c r="C49" s="208" t="s">
        <v>80</v>
      </c>
      <c r="D49" s="209">
        <v>1000.0</v>
      </c>
      <c r="E49" s="210" t="s">
        <v>14</v>
      </c>
      <c r="F49" s="209">
        <v>110.0</v>
      </c>
      <c r="G49" s="209">
        <f t="shared" si="7"/>
        <v>0.11</v>
      </c>
      <c r="H49" s="209">
        <v>7.0</v>
      </c>
      <c r="I49" s="209">
        <f t="shared" si="8"/>
        <v>0.77</v>
      </c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</row>
    <row r="50">
      <c r="A50" s="214"/>
      <c r="B50" s="215"/>
      <c r="C50" s="216" t="s">
        <v>225</v>
      </c>
      <c r="D50" s="217"/>
      <c r="E50" s="217"/>
      <c r="F50" s="217"/>
      <c r="G50" s="217"/>
      <c r="H50" s="218"/>
      <c r="I50" s="219">
        <f>SUM(I46:I49)*1.3</f>
        <v>67.483</v>
      </c>
      <c r="J50" s="214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</row>
    <row r="51">
      <c r="A51" s="220"/>
      <c r="B51" s="221"/>
      <c r="C51" s="222" t="s">
        <v>232</v>
      </c>
      <c r="D51" s="217"/>
      <c r="E51" s="217"/>
      <c r="F51" s="217"/>
      <c r="G51" s="217"/>
      <c r="H51" s="218"/>
      <c r="I51" s="223"/>
      <c r="J51" s="224" t="str">
        <f>I50/I51</f>
        <v>#DIV/0!</v>
      </c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</row>
    <row r="52">
      <c r="A52" s="196"/>
      <c r="B52" s="197">
        <v>5.0</v>
      </c>
      <c r="C52" s="198" t="s">
        <v>233</v>
      </c>
      <c r="D52" s="199"/>
      <c r="E52" s="199"/>
      <c r="F52" s="199"/>
      <c r="G52" s="199"/>
      <c r="H52" s="199"/>
      <c r="I52" s="199"/>
      <c r="J52" s="200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</row>
    <row r="53">
      <c r="A53" s="201"/>
      <c r="B53" s="202"/>
      <c r="C53" s="203" t="s">
        <v>64</v>
      </c>
      <c r="D53" s="204">
        <v>1000.0</v>
      </c>
      <c r="E53" s="205" t="s">
        <v>14</v>
      </c>
      <c r="F53" s="204">
        <v>90.0</v>
      </c>
      <c r="G53" s="204">
        <f t="shared" ref="G53:G55" si="9">IFERROR(F53/D53,0)</f>
        <v>0.09</v>
      </c>
      <c r="H53" s="204">
        <v>80.0</v>
      </c>
      <c r="I53" s="204">
        <f t="shared" ref="I53:I55" si="10">IFERROR(G53*H53,0)</f>
        <v>7.2</v>
      </c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  <row r="54">
      <c r="A54" s="206"/>
      <c r="B54" s="207"/>
      <c r="C54" s="208" t="s">
        <v>17</v>
      </c>
      <c r="D54" s="209">
        <v>90.0</v>
      </c>
      <c r="E54" s="210" t="s">
        <v>18</v>
      </c>
      <c r="F54" s="209">
        <v>357.0</v>
      </c>
      <c r="G54" s="209">
        <f t="shared" si="9"/>
        <v>3.966666667</v>
      </c>
      <c r="H54" s="209">
        <v>60.0</v>
      </c>
      <c r="I54" s="209">
        <f t="shared" si="10"/>
        <v>238</v>
      </c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</row>
    <row r="55">
      <c r="A55" s="201"/>
      <c r="B55" s="202"/>
      <c r="C55" s="203" t="s">
        <v>234</v>
      </c>
      <c r="D55" s="204">
        <v>1000.0</v>
      </c>
      <c r="E55" s="205" t="s">
        <v>14</v>
      </c>
      <c r="F55" s="204">
        <v>78.0</v>
      </c>
      <c r="G55" s="204">
        <f t="shared" si="9"/>
        <v>0.078</v>
      </c>
      <c r="H55" s="204">
        <v>50.0</v>
      </c>
      <c r="I55" s="204">
        <f t="shared" si="10"/>
        <v>3.9</v>
      </c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</row>
    <row r="56">
      <c r="A56" s="214"/>
      <c r="B56" s="215"/>
      <c r="C56" s="216" t="s">
        <v>225</v>
      </c>
      <c r="D56" s="217"/>
      <c r="E56" s="217"/>
      <c r="F56" s="217"/>
      <c r="G56" s="217"/>
      <c r="H56" s="218"/>
      <c r="I56" s="219">
        <f>SUM(I53:I55)*1.3</f>
        <v>323.83</v>
      </c>
      <c r="J56" s="214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</row>
    <row r="57">
      <c r="A57" s="220"/>
      <c r="B57" s="221"/>
      <c r="C57" s="222" t="s">
        <v>235</v>
      </c>
      <c r="D57" s="217"/>
      <c r="E57" s="217"/>
      <c r="F57" s="217"/>
      <c r="G57" s="217"/>
      <c r="H57" s="218"/>
      <c r="I57" s="223"/>
      <c r="J57" s="224" t="str">
        <f>I56/I57</f>
        <v>#DIV/0!</v>
      </c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</row>
    <row r="58">
      <c r="A58" s="196"/>
      <c r="B58" s="197">
        <v>6.0</v>
      </c>
      <c r="C58" s="198" t="s">
        <v>236</v>
      </c>
      <c r="D58" s="199"/>
      <c r="E58" s="199"/>
      <c r="F58" s="199"/>
      <c r="G58" s="199"/>
      <c r="H58" s="199"/>
      <c r="I58" s="199"/>
      <c r="J58" s="200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</row>
    <row r="59">
      <c r="A59" s="201"/>
      <c r="B59" s="202"/>
      <c r="C59" s="203" t="s">
        <v>39</v>
      </c>
      <c r="D59" s="204">
        <v>1000.0</v>
      </c>
      <c r="E59" s="205" t="s">
        <v>14</v>
      </c>
      <c r="F59" s="204">
        <v>60.0</v>
      </c>
      <c r="G59" s="204">
        <f t="shared" ref="G59:G63" si="11">IFERROR(F59/D59,0)</f>
        <v>0.06</v>
      </c>
      <c r="H59" s="204">
        <v>1000.0</v>
      </c>
      <c r="I59" s="204">
        <f t="shared" ref="I59:I63" si="12">IFERROR(G59*H59,0)</f>
        <v>60</v>
      </c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</row>
    <row r="60">
      <c r="A60" s="206"/>
      <c r="B60" s="207"/>
      <c r="C60" s="208" t="s">
        <v>85</v>
      </c>
      <c r="D60" s="209">
        <v>1000.0</v>
      </c>
      <c r="E60" s="210" t="s">
        <v>14</v>
      </c>
      <c r="F60" s="209">
        <v>30.0</v>
      </c>
      <c r="G60" s="209">
        <f t="shared" si="11"/>
        <v>0.03</v>
      </c>
      <c r="H60" s="209">
        <v>300.0</v>
      </c>
      <c r="I60" s="209">
        <f t="shared" si="12"/>
        <v>9</v>
      </c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</row>
    <row r="61">
      <c r="A61" s="201"/>
      <c r="B61" s="202"/>
      <c r="C61" s="203" t="s">
        <v>78</v>
      </c>
      <c r="D61" s="225">
        <v>1500.0</v>
      </c>
      <c r="E61" s="205" t="s">
        <v>14</v>
      </c>
      <c r="F61" s="225">
        <v>1300.0</v>
      </c>
      <c r="G61" s="204">
        <f t="shared" si="11"/>
        <v>0.8666666667</v>
      </c>
      <c r="H61" s="204">
        <v>300.0</v>
      </c>
      <c r="I61" s="204">
        <f t="shared" si="12"/>
        <v>260</v>
      </c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</row>
    <row r="62">
      <c r="A62" s="206"/>
      <c r="B62" s="207"/>
      <c r="C62" s="208" t="s">
        <v>99</v>
      </c>
      <c r="D62" s="209">
        <v>0.0</v>
      </c>
      <c r="E62" s="210" t="s">
        <v>14</v>
      </c>
      <c r="F62" s="209">
        <v>0.0</v>
      </c>
      <c r="G62" s="209">
        <f t="shared" si="11"/>
        <v>0</v>
      </c>
      <c r="H62" s="209">
        <v>300.0</v>
      </c>
      <c r="I62" s="209">
        <f t="shared" si="12"/>
        <v>0</v>
      </c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</row>
    <row r="63">
      <c r="A63" s="201"/>
      <c r="B63" s="202"/>
      <c r="C63" s="203" t="s">
        <v>81</v>
      </c>
      <c r="D63" s="204">
        <v>1000.0</v>
      </c>
      <c r="E63" s="205" t="s">
        <v>14</v>
      </c>
      <c r="F63" s="204">
        <v>15.0</v>
      </c>
      <c r="G63" s="204">
        <f t="shared" si="11"/>
        <v>0.015</v>
      </c>
      <c r="H63" s="204">
        <v>8.0</v>
      </c>
      <c r="I63" s="204">
        <f t="shared" si="12"/>
        <v>0.12</v>
      </c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</row>
    <row r="64">
      <c r="A64" s="214"/>
      <c r="B64" s="215"/>
      <c r="C64" s="216" t="s">
        <v>225</v>
      </c>
      <c r="D64" s="217"/>
      <c r="E64" s="217"/>
      <c r="F64" s="217"/>
      <c r="G64" s="217"/>
      <c r="H64" s="218"/>
      <c r="I64" s="219">
        <f>SUM(I59:I63)*1.3</f>
        <v>427.856</v>
      </c>
      <c r="J64" s="214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</row>
    <row r="65">
      <c r="A65" s="220"/>
      <c r="B65" s="221"/>
      <c r="C65" s="222" t="s">
        <v>237</v>
      </c>
      <c r="D65" s="217"/>
      <c r="E65" s="217"/>
      <c r="F65" s="217"/>
      <c r="G65" s="217"/>
      <c r="H65" s="218"/>
      <c r="I65" s="223"/>
      <c r="J65" s="224" t="str">
        <f>I64/I65</f>
        <v>#DIV/0!</v>
      </c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</row>
    <row r="66">
      <c r="A66" s="196"/>
      <c r="B66" s="197">
        <v>7.0</v>
      </c>
      <c r="C66" s="198" t="s">
        <v>40</v>
      </c>
      <c r="D66" s="199"/>
      <c r="E66" s="199"/>
      <c r="F66" s="199"/>
      <c r="G66" s="199"/>
      <c r="H66" s="199"/>
      <c r="I66" s="199"/>
      <c r="J66" s="200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</row>
    <row r="67">
      <c r="A67" s="201"/>
      <c r="B67" s="202"/>
      <c r="C67" s="203" t="s">
        <v>40</v>
      </c>
      <c r="D67" s="204">
        <v>1000.0</v>
      </c>
      <c r="E67" s="205" t="s">
        <v>14</v>
      </c>
      <c r="F67" s="204">
        <v>83.0</v>
      </c>
      <c r="G67" s="204">
        <f t="shared" ref="G67:G68" si="13">IFERROR(F67/D67,0)</f>
        <v>0.083</v>
      </c>
      <c r="H67" s="204">
        <v>300.0</v>
      </c>
      <c r="I67" s="204">
        <f t="shared" ref="I67:I68" si="14">IFERROR(G67*H67,0)</f>
        <v>24.9</v>
      </c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</row>
    <row r="68">
      <c r="A68" s="206"/>
      <c r="B68" s="207"/>
      <c r="C68" s="208" t="s">
        <v>81</v>
      </c>
      <c r="D68" s="209">
        <v>1000.0</v>
      </c>
      <c r="E68" s="210" t="s">
        <v>14</v>
      </c>
      <c r="F68" s="209">
        <v>15.0</v>
      </c>
      <c r="G68" s="209">
        <f t="shared" si="13"/>
        <v>0.015</v>
      </c>
      <c r="H68" s="209">
        <v>0.5</v>
      </c>
      <c r="I68" s="209">
        <f t="shared" si="14"/>
        <v>0.0075</v>
      </c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</row>
    <row r="69">
      <c r="A69" s="214"/>
      <c r="B69" s="215"/>
      <c r="C69" s="216" t="s">
        <v>225</v>
      </c>
      <c r="D69" s="217"/>
      <c r="E69" s="217"/>
      <c r="F69" s="217"/>
      <c r="G69" s="217"/>
      <c r="H69" s="218"/>
      <c r="I69" s="219">
        <f>SUM(I67:I68)*1.3</f>
        <v>32.37975</v>
      </c>
      <c r="J69" s="214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</row>
    <row r="70">
      <c r="A70" s="220"/>
      <c r="B70" s="221"/>
      <c r="C70" s="222" t="s">
        <v>238</v>
      </c>
      <c r="D70" s="217"/>
      <c r="E70" s="217"/>
      <c r="F70" s="217"/>
      <c r="G70" s="217"/>
      <c r="H70" s="218"/>
      <c r="I70" s="226">
        <v>160.0</v>
      </c>
      <c r="J70" s="220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</row>
    <row r="71">
      <c r="A71" s="196"/>
      <c r="B71" s="197">
        <v>8.0</v>
      </c>
      <c r="C71" s="198" t="s">
        <v>239</v>
      </c>
      <c r="D71" s="199"/>
      <c r="E71" s="199"/>
      <c r="F71" s="199"/>
      <c r="G71" s="199"/>
      <c r="H71" s="199"/>
      <c r="I71" s="199"/>
      <c r="J71" s="200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</row>
    <row r="72">
      <c r="A72" s="201"/>
      <c r="B72" s="202"/>
      <c r="C72" s="203" t="s">
        <v>25</v>
      </c>
      <c r="D72" s="204">
        <v>50.0</v>
      </c>
      <c r="E72" s="205" t="s">
        <v>18</v>
      </c>
      <c r="F72" s="204">
        <v>89.0</v>
      </c>
      <c r="G72" s="209">
        <f t="shared" ref="G72:G79" si="15">IFERROR(F72/D72,0)</f>
        <v>1.78</v>
      </c>
      <c r="H72" s="225">
        <v>50.0</v>
      </c>
      <c r="I72" s="204">
        <f t="shared" ref="I72:I79" si="16">IFERROR(G72*H72,0)</f>
        <v>89</v>
      </c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</row>
    <row r="73">
      <c r="A73" s="206"/>
      <c r="B73" s="207"/>
      <c r="C73" s="208" t="s">
        <v>229</v>
      </c>
      <c r="D73" s="209">
        <v>10000.0</v>
      </c>
      <c r="E73" s="210" t="s">
        <v>14</v>
      </c>
      <c r="F73" s="209">
        <v>1300.0</v>
      </c>
      <c r="G73" s="209">
        <f t="shared" si="15"/>
        <v>0.13</v>
      </c>
      <c r="H73" s="209">
        <v>20.0</v>
      </c>
      <c r="I73" s="209">
        <f t="shared" si="16"/>
        <v>2.6</v>
      </c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</row>
    <row r="74">
      <c r="A74" s="201"/>
      <c r="B74" s="202"/>
      <c r="C74" s="203" t="s">
        <v>59</v>
      </c>
      <c r="D74" s="204">
        <v>1000.0</v>
      </c>
      <c r="E74" s="205" t="s">
        <v>14</v>
      </c>
      <c r="F74" s="204">
        <v>100.0</v>
      </c>
      <c r="G74" s="209">
        <f t="shared" si="15"/>
        <v>0.1</v>
      </c>
      <c r="H74" s="204">
        <v>30.0</v>
      </c>
      <c r="I74" s="204">
        <f t="shared" si="16"/>
        <v>3</v>
      </c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</row>
    <row r="75">
      <c r="A75" s="206"/>
      <c r="B75" s="207"/>
      <c r="C75" s="208" t="s">
        <v>46</v>
      </c>
      <c r="D75" s="209">
        <v>1000.0</v>
      </c>
      <c r="E75" s="210" t="s">
        <v>14</v>
      </c>
      <c r="F75" s="209">
        <v>100.0</v>
      </c>
      <c r="G75" s="209">
        <f t="shared" si="15"/>
        <v>0.1</v>
      </c>
      <c r="H75" s="209">
        <v>30.0</v>
      </c>
      <c r="I75" s="209">
        <f t="shared" si="16"/>
        <v>3</v>
      </c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</row>
    <row r="76">
      <c r="A76" s="201"/>
      <c r="B76" s="202"/>
      <c r="C76" s="203" t="s">
        <v>75</v>
      </c>
      <c r="D76" s="204">
        <v>2500.0</v>
      </c>
      <c r="E76" s="205" t="s">
        <v>14</v>
      </c>
      <c r="F76" s="204">
        <v>450.0</v>
      </c>
      <c r="G76" s="209">
        <f t="shared" si="15"/>
        <v>0.18</v>
      </c>
      <c r="H76" s="204">
        <v>18.0</v>
      </c>
      <c r="I76" s="204">
        <f t="shared" si="16"/>
        <v>3.24</v>
      </c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</row>
    <row r="77">
      <c r="A77" s="206"/>
      <c r="B77" s="207"/>
      <c r="C77" s="208" t="s">
        <v>99</v>
      </c>
      <c r="D77" s="209">
        <v>0.0</v>
      </c>
      <c r="E77" s="210" t="s">
        <v>84</v>
      </c>
      <c r="F77" s="209">
        <v>0.0</v>
      </c>
      <c r="G77" s="209">
        <f t="shared" si="15"/>
        <v>0</v>
      </c>
      <c r="H77" s="209">
        <v>1000.0</v>
      </c>
      <c r="I77" s="209">
        <f t="shared" si="16"/>
        <v>0</v>
      </c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</row>
    <row r="78">
      <c r="A78" s="201"/>
      <c r="B78" s="202"/>
      <c r="C78" s="203" t="s">
        <v>85</v>
      </c>
      <c r="D78" s="204">
        <v>1000.0</v>
      </c>
      <c r="E78" s="205" t="s">
        <v>14</v>
      </c>
      <c r="F78" s="204">
        <v>30.0</v>
      </c>
      <c r="G78" s="204">
        <f t="shared" si="15"/>
        <v>0.03</v>
      </c>
      <c r="H78" s="204">
        <v>40.0</v>
      </c>
      <c r="I78" s="204">
        <f t="shared" si="16"/>
        <v>1.2</v>
      </c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</row>
    <row r="79">
      <c r="A79" s="206"/>
      <c r="B79" s="207"/>
      <c r="C79" s="208" t="s">
        <v>240</v>
      </c>
      <c r="D79" s="209">
        <v>1000.0</v>
      </c>
      <c r="E79" s="210" t="s">
        <v>14</v>
      </c>
      <c r="F79" s="209">
        <v>130.0</v>
      </c>
      <c r="G79" s="209">
        <f t="shared" si="15"/>
        <v>0.13</v>
      </c>
      <c r="H79" s="209">
        <v>150.0</v>
      </c>
      <c r="I79" s="209">
        <f t="shared" si="16"/>
        <v>19.5</v>
      </c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</row>
    <row r="80">
      <c r="A80" s="214"/>
      <c r="B80" s="215"/>
      <c r="C80" s="216" t="s">
        <v>225</v>
      </c>
      <c r="D80" s="217"/>
      <c r="E80" s="217"/>
      <c r="F80" s="217"/>
      <c r="G80" s="217"/>
      <c r="H80" s="218"/>
      <c r="I80" s="219">
        <f>SUM(I72:I79)*1.3</f>
        <v>158.002</v>
      </c>
      <c r="J80" s="214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</row>
    <row r="81">
      <c r="A81" s="220"/>
      <c r="B81" s="221"/>
      <c r="C81" s="222" t="s">
        <v>241</v>
      </c>
      <c r="D81" s="217"/>
      <c r="E81" s="217"/>
      <c r="F81" s="217"/>
      <c r="G81" s="217"/>
      <c r="H81" s="218"/>
      <c r="I81" s="223"/>
      <c r="J81" s="224" t="str">
        <f>I80/I81</f>
        <v>#DIV/0!</v>
      </c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</row>
    <row r="82">
      <c r="A82" s="196"/>
      <c r="B82" s="197">
        <v>9.0</v>
      </c>
      <c r="C82" s="198" t="s">
        <v>242</v>
      </c>
      <c r="D82" s="199"/>
      <c r="E82" s="199"/>
      <c r="F82" s="199"/>
      <c r="G82" s="199"/>
      <c r="H82" s="199"/>
      <c r="I82" s="199"/>
      <c r="J82" s="200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</row>
    <row r="83">
      <c r="A83" s="201"/>
      <c r="B83" s="202"/>
      <c r="C83" s="203" t="s">
        <v>21</v>
      </c>
      <c r="D83" s="204">
        <v>1000.0</v>
      </c>
      <c r="E83" s="205" t="s">
        <v>14</v>
      </c>
      <c r="F83" s="204">
        <v>160.0</v>
      </c>
      <c r="G83" s="204">
        <f t="shared" ref="G83:G88" si="17">IFERROR(F83/D83,0)</f>
        <v>0.16</v>
      </c>
      <c r="H83" s="204">
        <v>350.0</v>
      </c>
      <c r="I83" s="204">
        <f t="shared" ref="I83:I88" si="18">IFERROR(G83*H83,0)</f>
        <v>56</v>
      </c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</row>
    <row r="84">
      <c r="A84" s="206"/>
      <c r="B84" s="207"/>
      <c r="C84" s="208" t="s">
        <v>37</v>
      </c>
      <c r="D84" s="209">
        <v>1000.0</v>
      </c>
      <c r="E84" s="210" t="s">
        <v>14</v>
      </c>
      <c r="F84" s="209">
        <v>29.0</v>
      </c>
      <c r="G84" s="209">
        <f t="shared" si="17"/>
        <v>0.029</v>
      </c>
      <c r="H84" s="209">
        <v>100.0</v>
      </c>
      <c r="I84" s="209">
        <f t="shared" si="18"/>
        <v>2.9</v>
      </c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</row>
    <row r="85">
      <c r="A85" s="201"/>
      <c r="B85" s="202"/>
      <c r="C85" s="203" t="s">
        <v>240</v>
      </c>
      <c r="D85" s="204">
        <v>1000.0</v>
      </c>
      <c r="E85" s="205" t="s">
        <v>14</v>
      </c>
      <c r="F85" s="204">
        <v>130.0</v>
      </c>
      <c r="G85" s="204">
        <f t="shared" si="17"/>
        <v>0.13</v>
      </c>
      <c r="H85" s="204">
        <v>150.0</v>
      </c>
      <c r="I85" s="204">
        <f t="shared" si="18"/>
        <v>19.5</v>
      </c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</row>
    <row r="86">
      <c r="A86" s="206"/>
      <c r="B86" s="207"/>
      <c r="C86" s="208" t="s">
        <v>58</v>
      </c>
      <c r="D86" s="209">
        <v>1000.0</v>
      </c>
      <c r="E86" s="210" t="s">
        <v>14</v>
      </c>
      <c r="F86" s="209">
        <v>29.0</v>
      </c>
      <c r="G86" s="209">
        <f t="shared" si="17"/>
        <v>0.029</v>
      </c>
      <c r="H86" s="209">
        <v>175.0</v>
      </c>
      <c r="I86" s="209">
        <f t="shared" si="18"/>
        <v>5.075</v>
      </c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</row>
    <row r="87">
      <c r="A87" s="201"/>
      <c r="B87" s="202"/>
      <c r="C87" s="203" t="s">
        <v>80</v>
      </c>
      <c r="D87" s="204">
        <v>1000.0</v>
      </c>
      <c r="E87" s="205" t="s">
        <v>14</v>
      </c>
      <c r="F87" s="204">
        <v>110.0</v>
      </c>
      <c r="G87" s="204">
        <f t="shared" si="17"/>
        <v>0.11</v>
      </c>
      <c r="H87" s="204">
        <v>7.0</v>
      </c>
      <c r="I87" s="204">
        <f t="shared" si="18"/>
        <v>0.77</v>
      </c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</row>
    <row r="88">
      <c r="A88" s="206"/>
      <c r="B88" s="207"/>
      <c r="C88" s="208" t="s">
        <v>229</v>
      </c>
      <c r="D88" s="209">
        <v>10000.0</v>
      </c>
      <c r="E88" s="210" t="s">
        <v>14</v>
      </c>
      <c r="F88" s="209">
        <v>1300.0</v>
      </c>
      <c r="G88" s="209">
        <f t="shared" si="17"/>
        <v>0.13</v>
      </c>
      <c r="H88" s="209">
        <v>7.0</v>
      </c>
      <c r="I88" s="209">
        <f t="shared" si="18"/>
        <v>0.91</v>
      </c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</row>
    <row r="89">
      <c r="A89" s="214"/>
      <c r="B89" s="215"/>
      <c r="C89" s="216" t="s">
        <v>225</v>
      </c>
      <c r="D89" s="217"/>
      <c r="E89" s="217"/>
      <c r="F89" s="217"/>
      <c r="G89" s="217"/>
      <c r="H89" s="218"/>
      <c r="I89" s="219">
        <f>SUM(I83:I88)*1.3</f>
        <v>110.7015</v>
      </c>
      <c r="J89" s="214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</row>
    <row r="90">
      <c r="A90" s="220"/>
      <c r="B90" s="221"/>
      <c r="C90" s="222" t="s">
        <v>243</v>
      </c>
      <c r="D90" s="217"/>
      <c r="E90" s="217"/>
      <c r="F90" s="217"/>
      <c r="G90" s="217"/>
      <c r="H90" s="218"/>
      <c r="I90" s="226">
        <v>320.0</v>
      </c>
      <c r="J90" s="220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</row>
    <row r="91">
      <c r="A91" s="196"/>
      <c r="B91" s="197">
        <v>10.0</v>
      </c>
      <c r="C91" s="227" t="s">
        <v>244</v>
      </c>
      <c r="D91" s="199"/>
      <c r="E91" s="199"/>
      <c r="F91" s="199"/>
      <c r="G91" s="199"/>
      <c r="H91" s="199"/>
      <c r="I91" s="199"/>
      <c r="J91" s="200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</row>
    <row r="92">
      <c r="A92" s="201"/>
      <c r="B92" s="202"/>
      <c r="C92" s="203" t="s">
        <v>17</v>
      </c>
      <c r="D92" s="204">
        <v>90.0</v>
      </c>
      <c r="E92" s="205" t="s">
        <v>14</v>
      </c>
      <c r="F92" s="204">
        <v>357.0</v>
      </c>
      <c r="G92" s="204">
        <f t="shared" ref="G92:G96" si="19">IFERROR(F92/D92,0)</f>
        <v>3.966666667</v>
      </c>
      <c r="H92" s="225">
        <v>5.0</v>
      </c>
      <c r="I92" s="204">
        <f t="shared" ref="I92:I96" si="20">IFERROR(G92*H92,0)</f>
        <v>19.83333333</v>
      </c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</row>
    <row r="93">
      <c r="A93" s="206"/>
      <c r="B93" s="207"/>
      <c r="C93" s="208" t="s">
        <v>222</v>
      </c>
      <c r="D93" s="209">
        <v>1000.0</v>
      </c>
      <c r="E93" s="210" t="s">
        <v>14</v>
      </c>
      <c r="F93" s="209">
        <v>80.0</v>
      </c>
      <c r="G93" s="209">
        <f t="shared" si="19"/>
        <v>0.08</v>
      </c>
      <c r="H93" s="209">
        <v>17.0</v>
      </c>
      <c r="I93" s="209">
        <f t="shared" si="20"/>
        <v>1.36</v>
      </c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</row>
    <row r="94">
      <c r="A94" s="201"/>
      <c r="B94" s="202"/>
      <c r="C94" s="203" t="s">
        <v>37</v>
      </c>
      <c r="D94" s="204">
        <v>1000.0</v>
      </c>
      <c r="E94" s="205" t="s">
        <v>14</v>
      </c>
      <c r="F94" s="204">
        <v>29.0</v>
      </c>
      <c r="G94" s="204">
        <f t="shared" si="19"/>
        <v>0.029</v>
      </c>
      <c r="H94" s="204">
        <v>5.0</v>
      </c>
      <c r="I94" s="204">
        <f t="shared" si="20"/>
        <v>0.145</v>
      </c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</row>
    <row r="95">
      <c r="A95" s="206"/>
      <c r="B95" s="207"/>
      <c r="C95" s="208" t="s">
        <v>81</v>
      </c>
      <c r="D95" s="209">
        <v>1000.0</v>
      </c>
      <c r="E95" s="210" t="s">
        <v>14</v>
      </c>
      <c r="F95" s="209">
        <v>15.0</v>
      </c>
      <c r="G95" s="209">
        <f t="shared" si="19"/>
        <v>0.015</v>
      </c>
      <c r="H95" s="209">
        <v>0.5</v>
      </c>
      <c r="I95" s="209">
        <f t="shared" si="20"/>
        <v>0.0075</v>
      </c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</row>
    <row r="96">
      <c r="A96" s="201"/>
      <c r="B96" s="202"/>
      <c r="C96" s="203" t="s">
        <v>80</v>
      </c>
      <c r="D96" s="204">
        <v>1000.0</v>
      </c>
      <c r="E96" s="205" t="s">
        <v>14</v>
      </c>
      <c r="F96" s="204">
        <v>110.0</v>
      </c>
      <c r="G96" s="204">
        <f t="shared" si="19"/>
        <v>0.11</v>
      </c>
      <c r="H96" s="204">
        <v>0.5</v>
      </c>
      <c r="I96" s="204">
        <f t="shared" si="20"/>
        <v>0.055</v>
      </c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</row>
    <row r="97">
      <c r="A97" s="214"/>
      <c r="B97" s="215"/>
      <c r="C97" s="216" t="s">
        <v>225</v>
      </c>
      <c r="D97" s="217"/>
      <c r="E97" s="217"/>
      <c r="F97" s="217"/>
      <c r="G97" s="217"/>
      <c r="H97" s="218"/>
      <c r="I97" s="219">
        <f>SUM(I92:I96)*1.3</f>
        <v>27.82108333</v>
      </c>
      <c r="J97" s="214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</row>
    <row r="98">
      <c r="A98" s="220"/>
      <c r="B98" s="221"/>
      <c r="C98" s="222" t="s">
        <v>245</v>
      </c>
      <c r="D98" s="217"/>
      <c r="E98" s="217"/>
      <c r="F98" s="217"/>
      <c r="G98" s="217"/>
      <c r="H98" s="218"/>
      <c r="I98" s="223"/>
      <c r="J98" s="224" t="str">
        <f>I97/I98</f>
        <v>#DIV/0!</v>
      </c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</row>
    <row r="99">
      <c r="A99" s="196"/>
      <c r="B99" s="197">
        <v>11.0</v>
      </c>
      <c r="C99" s="198" t="s">
        <v>246</v>
      </c>
      <c r="D99" s="199"/>
      <c r="E99" s="199"/>
      <c r="F99" s="199"/>
      <c r="G99" s="199"/>
      <c r="H99" s="199"/>
      <c r="I99" s="199"/>
      <c r="J99" s="200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</row>
    <row r="100">
      <c r="A100" s="201"/>
      <c r="B100" s="202"/>
      <c r="C100" s="203" t="s">
        <v>63</v>
      </c>
      <c r="D100" s="204">
        <v>300.0</v>
      </c>
      <c r="E100" s="205" t="s">
        <v>14</v>
      </c>
      <c r="F100" s="204">
        <v>40.0</v>
      </c>
      <c r="G100" s="204">
        <f t="shared" ref="G100:G102" si="21">IFERROR(F100/D100,0)</f>
        <v>0.1333333333</v>
      </c>
      <c r="H100" s="204">
        <v>100.0</v>
      </c>
      <c r="I100" s="204">
        <f t="shared" ref="I100:I102" si="22">IFERROR(G100*H100,0)</f>
        <v>13.33333333</v>
      </c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</row>
    <row r="101">
      <c r="A101" s="206"/>
      <c r="B101" s="207"/>
      <c r="C101" s="208" t="s">
        <v>17</v>
      </c>
      <c r="D101" s="209">
        <v>90.0</v>
      </c>
      <c r="E101" s="210" t="s">
        <v>14</v>
      </c>
      <c r="F101" s="209">
        <v>357.0</v>
      </c>
      <c r="G101" s="209">
        <f t="shared" si="21"/>
        <v>3.966666667</v>
      </c>
      <c r="H101" s="209">
        <v>60.0</v>
      </c>
      <c r="I101" s="209">
        <f t="shared" si="22"/>
        <v>238</v>
      </c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</row>
    <row r="102">
      <c r="A102" s="201"/>
      <c r="B102" s="202"/>
      <c r="C102" s="203" t="s">
        <v>247</v>
      </c>
      <c r="D102" s="204">
        <v>1000.0</v>
      </c>
      <c r="E102" s="205" t="s">
        <v>14</v>
      </c>
      <c r="F102" s="204">
        <v>78.0</v>
      </c>
      <c r="G102" s="204">
        <f t="shared" si="21"/>
        <v>0.078</v>
      </c>
      <c r="H102" s="204">
        <v>50.0</v>
      </c>
      <c r="I102" s="204">
        <f t="shared" si="22"/>
        <v>3.9</v>
      </c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</row>
    <row r="103">
      <c r="A103" s="214"/>
      <c r="B103" s="215"/>
      <c r="C103" s="216" t="s">
        <v>225</v>
      </c>
      <c r="D103" s="217"/>
      <c r="E103" s="217"/>
      <c r="F103" s="217"/>
      <c r="G103" s="217"/>
      <c r="H103" s="218"/>
      <c r="I103" s="219">
        <f>SUM(I100:I102)*1.3</f>
        <v>331.8033333</v>
      </c>
      <c r="J103" s="214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</row>
    <row r="104">
      <c r="A104" s="220"/>
      <c r="B104" s="221"/>
      <c r="C104" s="222" t="s">
        <v>248</v>
      </c>
      <c r="D104" s="217"/>
      <c r="E104" s="217"/>
      <c r="F104" s="217"/>
      <c r="G104" s="217"/>
      <c r="H104" s="218"/>
      <c r="I104" s="223"/>
      <c r="J104" s="224" t="str">
        <f>I103/I104</f>
        <v>#DIV/0!</v>
      </c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</row>
    <row r="105">
      <c r="A105" s="196"/>
      <c r="B105" s="197">
        <v>12.0</v>
      </c>
      <c r="C105" s="198" t="s">
        <v>249</v>
      </c>
      <c r="D105" s="199"/>
      <c r="E105" s="199"/>
      <c r="F105" s="199"/>
      <c r="G105" s="199"/>
      <c r="H105" s="199"/>
      <c r="I105" s="199"/>
      <c r="J105" s="200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</row>
    <row r="106">
      <c r="A106" s="201"/>
      <c r="B106" s="202"/>
      <c r="C106" s="203" t="s">
        <v>38</v>
      </c>
      <c r="D106" s="204">
        <v>1000.0</v>
      </c>
      <c r="E106" s="205" t="s">
        <v>14</v>
      </c>
      <c r="F106" s="204">
        <v>45.0</v>
      </c>
      <c r="G106" s="204">
        <f t="shared" ref="G106:G113" si="23">IFERROR(F106/D106,0)</f>
        <v>0.045</v>
      </c>
      <c r="H106" s="204">
        <v>500.0</v>
      </c>
      <c r="I106" s="204">
        <f t="shared" ref="I106:I113" si="24">IFERROR(G106*H106,0)</f>
        <v>22.5</v>
      </c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</row>
    <row r="107">
      <c r="A107" s="206"/>
      <c r="B107" s="207"/>
      <c r="C107" s="208" t="s">
        <v>37</v>
      </c>
      <c r="D107" s="209">
        <v>1000.0</v>
      </c>
      <c r="E107" s="210" t="s">
        <v>14</v>
      </c>
      <c r="F107" s="209">
        <v>29.0</v>
      </c>
      <c r="G107" s="209">
        <f t="shared" si="23"/>
        <v>0.029</v>
      </c>
      <c r="H107" s="209">
        <v>160.0</v>
      </c>
      <c r="I107" s="209">
        <f t="shared" si="24"/>
        <v>4.64</v>
      </c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</row>
    <row r="108">
      <c r="A108" s="201"/>
      <c r="B108" s="202"/>
      <c r="C108" s="203" t="s">
        <v>250</v>
      </c>
      <c r="D108" s="204">
        <v>1000.0</v>
      </c>
      <c r="E108" s="205" t="s">
        <v>14</v>
      </c>
      <c r="F108" s="204">
        <v>200.0</v>
      </c>
      <c r="G108" s="204">
        <f t="shared" si="23"/>
        <v>0.2</v>
      </c>
      <c r="H108" s="204">
        <v>30.0</v>
      </c>
      <c r="I108" s="204">
        <f t="shared" si="24"/>
        <v>6</v>
      </c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</row>
    <row r="109">
      <c r="A109" s="206"/>
      <c r="B109" s="207"/>
      <c r="C109" s="208" t="s">
        <v>251</v>
      </c>
      <c r="D109" s="209">
        <v>1000.0</v>
      </c>
      <c r="E109" s="210" t="s">
        <v>14</v>
      </c>
      <c r="F109" s="209">
        <v>200.0</v>
      </c>
      <c r="G109" s="209">
        <f t="shared" si="23"/>
        <v>0.2</v>
      </c>
      <c r="H109" s="209">
        <v>50.0</v>
      </c>
      <c r="I109" s="209">
        <f t="shared" si="24"/>
        <v>10</v>
      </c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</row>
    <row r="110">
      <c r="A110" s="201"/>
      <c r="B110" s="202"/>
      <c r="C110" s="203" t="s">
        <v>252</v>
      </c>
      <c r="D110" s="204">
        <v>1000.0</v>
      </c>
      <c r="E110" s="205" t="s">
        <v>14</v>
      </c>
      <c r="F110" s="204">
        <v>30.0</v>
      </c>
      <c r="G110" s="204">
        <f t="shared" si="23"/>
        <v>0.03</v>
      </c>
      <c r="H110" s="204">
        <v>40.0</v>
      </c>
      <c r="I110" s="204">
        <f t="shared" si="24"/>
        <v>1.2</v>
      </c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</row>
    <row r="111">
      <c r="A111" s="206"/>
      <c r="B111" s="207"/>
      <c r="C111" s="208" t="s">
        <v>69</v>
      </c>
      <c r="D111" s="209">
        <v>1500.0</v>
      </c>
      <c r="E111" s="210" t="s">
        <v>84</v>
      </c>
      <c r="F111" s="209">
        <v>57.0</v>
      </c>
      <c r="G111" s="209">
        <f t="shared" si="23"/>
        <v>0.038</v>
      </c>
      <c r="H111" s="209">
        <v>7.0</v>
      </c>
      <c r="I111" s="209">
        <f t="shared" si="24"/>
        <v>0.266</v>
      </c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</row>
    <row r="112">
      <c r="A112" s="201"/>
      <c r="B112" s="202"/>
      <c r="C112" s="203" t="s">
        <v>253</v>
      </c>
      <c r="D112" s="204">
        <v>1000.0</v>
      </c>
      <c r="E112" s="205" t="s">
        <v>14</v>
      </c>
      <c r="F112" s="204">
        <v>110.0</v>
      </c>
      <c r="G112" s="204">
        <f t="shared" si="23"/>
        <v>0.11</v>
      </c>
      <c r="H112" s="204">
        <v>7.0</v>
      </c>
      <c r="I112" s="204">
        <f t="shared" si="24"/>
        <v>0.77</v>
      </c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</row>
    <row r="113">
      <c r="A113" s="206"/>
      <c r="B113" s="207"/>
      <c r="C113" s="208" t="s">
        <v>83</v>
      </c>
      <c r="D113" s="209">
        <v>665.0</v>
      </c>
      <c r="E113" s="210" t="s">
        <v>84</v>
      </c>
      <c r="F113" s="209">
        <v>165.0</v>
      </c>
      <c r="G113" s="209">
        <f t="shared" si="23"/>
        <v>0.2481203008</v>
      </c>
      <c r="H113" s="209">
        <v>3.0</v>
      </c>
      <c r="I113" s="209">
        <f t="shared" si="24"/>
        <v>0.7443609023</v>
      </c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</row>
    <row r="114">
      <c r="A114" s="214"/>
      <c r="B114" s="215"/>
      <c r="C114" s="216" t="s">
        <v>225</v>
      </c>
      <c r="D114" s="217"/>
      <c r="E114" s="217"/>
      <c r="F114" s="217"/>
      <c r="G114" s="217"/>
      <c r="H114" s="218"/>
      <c r="I114" s="219">
        <f>SUM(I106:I113)*1.3</f>
        <v>59.95646917</v>
      </c>
      <c r="J114" s="214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</row>
    <row r="115">
      <c r="A115" s="220"/>
      <c r="B115" s="221"/>
      <c r="C115" s="222" t="s">
        <v>254</v>
      </c>
      <c r="D115" s="217"/>
      <c r="E115" s="217"/>
      <c r="F115" s="217"/>
      <c r="G115" s="217"/>
      <c r="H115" s="218"/>
      <c r="I115" s="223"/>
      <c r="J115" s="224" t="str">
        <f>I114/I115</f>
        <v>#DIV/0!</v>
      </c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</row>
    <row r="116">
      <c r="A116" s="196"/>
      <c r="B116" s="197">
        <v>13.0</v>
      </c>
      <c r="C116" s="198" t="s">
        <v>255</v>
      </c>
      <c r="D116" s="199"/>
      <c r="E116" s="199"/>
      <c r="F116" s="199"/>
      <c r="G116" s="199"/>
      <c r="H116" s="199"/>
      <c r="I116" s="199"/>
      <c r="J116" s="200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</row>
    <row r="117">
      <c r="A117" s="201"/>
      <c r="B117" s="202"/>
      <c r="C117" s="203" t="s">
        <v>48</v>
      </c>
      <c r="D117" s="204">
        <v>1000.0</v>
      </c>
      <c r="E117" s="205" t="s">
        <v>14</v>
      </c>
      <c r="F117" s="204">
        <v>19.0</v>
      </c>
      <c r="G117" s="204">
        <f t="shared" ref="G117:G121" si="25">IFERROR(F117/D117,0)</f>
        <v>0.019</v>
      </c>
      <c r="H117" s="204">
        <v>1.0</v>
      </c>
      <c r="I117" s="204">
        <f t="shared" ref="I117:I121" si="26">IFERROR(G117*H117,0)</f>
        <v>0.019</v>
      </c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</row>
    <row r="118">
      <c r="A118" s="206"/>
      <c r="B118" s="207"/>
      <c r="C118" s="208" t="s">
        <v>250</v>
      </c>
      <c r="D118" s="209">
        <v>1000.0</v>
      </c>
      <c r="E118" s="210" t="s">
        <v>14</v>
      </c>
      <c r="F118" s="209">
        <v>200.0</v>
      </c>
      <c r="G118" s="209">
        <f t="shared" si="25"/>
        <v>0.2</v>
      </c>
      <c r="H118" s="209">
        <v>45.0</v>
      </c>
      <c r="I118" s="209">
        <f t="shared" si="26"/>
        <v>9</v>
      </c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</row>
    <row r="119">
      <c r="A119" s="201"/>
      <c r="B119" s="202"/>
      <c r="C119" s="203" t="s">
        <v>251</v>
      </c>
      <c r="D119" s="204">
        <v>1000.0</v>
      </c>
      <c r="E119" s="205" t="s">
        <v>14</v>
      </c>
      <c r="F119" s="204">
        <v>200.0</v>
      </c>
      <c r="G119" s="204">
        <f t="shared" si="25"/>
        <v>0.2</v>
      </c>
      <c r="H119" s="204">
        <v>50.0</v>
      </c>
      <c r="I119" s="204">
        <f t="shared" si="26"/>
        <v>10</v>
      </c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</row>
    <row r="120">
      <c r="A120" s="206"/>
      <c r="B120" s="207"/>
      <c r="C120" s="208" t="s">
        <v>253</v>
      </c>
      <c r="D120" s="209">
        <v>1000.0</v>
      </c>
      <c r="E120" s="210" t="s">
        <v>14</v>
      </c>
      <c r="F120" s="209">
        <v>110.0</v>
      </c>
      <c r="G120" s="209">
        <f t="shared" si="25"/>
        <v>0.11</v>
      </c>
      <c r="H120" s="209">
        <v>7.0</v>
      </c>
      <c r="I120" s="209">
        <f t="shared" si="26"/>
        <v>0.77</v>
      </c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</row>
    <row r="121">
      <c r="A121" s="201"/>
      <c r="B121" s="202"/>
      <c r="C121" s="203" t="s">
        <v>256</v>
      </c>
      <c r="D121" s="204">
        <v>10000.0</v>
      </c>
      <c r="E121" s="205" t="s">
        <v>14</v>
      </c>
      <c r="F121" s="204">
        <v>1300.0</v>
      </c>
      <c r="G121" s="204">
        <f t="shared" si="25"/>
        <v>0.13</v>
      </c>
      <c r="H121" s="204">
        <v>7.0</v>
      </c>
      <c r="I121" s="204">
        <f t="shared" si="26"/>
        <v>0.91</v>
      </c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</row>
    <row r="122">
      <c r="A122" s="214"/>
      <c r="B122" s="215"/>
      <c r="C122" s="216" t="s">
        <v>225</v>
      </c>
      <c r="D122" s="217"/>
      <c r="E122" s="217"/>
      <c r="F122" s="217"/>
      <c r="G122" s="217"/>
      <c r="H122" s="218"/>
      <c r="I122" s="219">
        <f>SUM(I117:I121)*1.3</f>
        <v>26.9087</v>
      </c>
      <c r="J122" s="214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</row>
    <row r="123">
      <c r="A123" s="220"/>
      <c r="B123" s="221"/>
      <c r="C123" s="222" t="s">
        <v>257</v>
      </c>
      <c r="D123" s="217"/>
      <c r="E123" s="217"/>
      <c r="F123" s="217"/>
      <c r="G123" s="217"/>
      <c r="H123" s="218"/>
      <c r="I123" s="223"/>
      <c r="J123" s="224" t="str">
        <f>I122/I123</f>
        <v>#DIV/0!</v>
      </c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</row>
    <row r="124">
      <c r="A124" s="196"/>
      <c r="B124" s="197">
        <v>14.0</v>
      </c>
      <c r="C124" s="198" t="s">
        <v>258</v>
      </c>
      <c r="D124" s="199"/>
      <c r="E124" s="199"/>
      <c r="F124" s="199"/>
      <c r="G124" s="199"/>
      <c r="H124" s="199"/>
      <c r="I124" s="199"/>
      <c r="J124" s="200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</row>
    <row r="125">
      <c r="A125" s="201"/>
      <c r="B125" s="202"/>
      <c r="C125" s="203" t="s">
        <v>62</v>
      </c>
      <c r="D125" s="204">
        <v>1000.0</v>
      </c>
      <c r="E125" s="205" t="s">
        <v>14</v>
      </c>
      <c r="F125" s="204">
        <v>90.0</v>
      </c>
      <c r="G125" s="204">
        <f t="shared" ref="G125:G130" si="27">IFERROR(F125/D125,0)</f>
        <v>0.09</v>
      </c>
      <c r="H125" s="204">
        <v>500.0</v>
      </c>
      <c r="I125" s="204">
        <f t="shared" ref="I125:I130" si="28">IFERROR(G125*H125,0)</f>
        <v>45</v>
      </c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</row>
    <row r="126">
      <c r="A126" s="206"/>
      <c r="B126" s="207"/>
      <c r="C126" s="208" t="s">
        <v>37</v>
      </c>
      <c r="D126" s="209">
        <v>1000.0</v>
      </c>
      <c r="E126" s="210" t="s">
        <v>14</v>
      </c>
      <c r="F126" s="209">
        <v>29.0</v>
      </c>
      <c r="G126" s="209">
        <f t="shared" si="27"/>
        <v>0.029</v>
      </c>
      <c r="H126" s="209">
        <v>160.0</v>
      </c>
      <c r="I126" s="209">
        <f t="shared" si="28"/>
        <v>4.64</v>
      </c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</row>
    <row r="127">
      <c r="A127" s="201"/>
      <c r="B127" s="202"/>
      <c r="C127" s="203" t="s">
        <v>59</v>
      </c>
      <c r="D127" s="204">
        <v>1000.0</v>
      </c>
      <c r="E127" s="205" t="s">
        <v>14</v>
      </c>
      <c r="F127" s="204">
        <v>100.0</v>
      </c>
      <c r="G127" s="204">
        <f t="shared" si="27"/>
        <v>0.1</v>
      </c>
      <c r="H127" s="204">
        <v>15.0</v>
      </c>
      <c r="I127" s="204">
        <f t="shared" si="28"/>
        <v>1.5</v>
      </c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</row>
    <row r="128">
      <c r="A128" s="206"/>
      <c r="B128" s="207"/>
      <c r="C128" s="208" t="s">
        <v>253</v>
      </c>
      <c r="D128" s="209">
        <v>1000.0</v>
      </c>
      <c r="E128" s="210" t="s">
        <v>14</v>
      </c>
      <c r="F128" s="209">
        <v>110.0</v>
      </c>
      <c r="G128" s="209">
        <f t="shared" si="27"/>
        <v>0.11</v>
      </c>
      <c r="H128" s="209">
        <v>7.0</v>
      </c>
      <c r="I128" s="209">
        <f t="shared" si="28"/>
        <v>0.77</v>
      </c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</row>
    <row r="129">
      <c r="A129" s="201"/>
      <c r="B129" s="202"/>
      <c r="C129" s="203" t="s">
        <v>259</v>
      </c>
      <c r="D129" s="204">
        <v>1000.0</v>
      </c>
      <c r="E129" s="205" t="s">
        <v>14</v>
      </c>
      <c r="F129" s="204">
        <v>250.0</v>
      </c>
      <c r="G129" s="204">
        <f t="shared" si="27"/>
        <v>0.25</v>
      </c>
      <c r="H129" s="204">
        <v>13.0</v>
      </c>
      <c r="I129" s="204">
        <f t="shared" si="28"/>
        <v>3.25</v>
      </c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</row>
    <row r="130">
      <c r="A130" s="206"/>
      <c r="B130" s="207"/>
      <c r="C130" s="208" t="s">
        <v>81</v>
      </c>
      <c r="D130" s="209">
        <v>1000.0</v>
      </c>
      <c r="E130" s="210" t="s">
        <v>14</v>
      </c>
      <c r="F130" s="209">
        <v>15.0</v>
      </c>
      <c r="G130" s="209">
        <f t="shared" si="27"/>
        <v>0.015</v>
      </c>
      <c r="H130" s="209">
        <v>0.5</v>
      </c>
      <c r="I130" s="209">
        <f t="shared" si="28"/>
        <v>0.0075</v>
      </c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</row>
    <row r="131">
      <c r="A131" s="214"/>
      <c r="B131" s="215"/>
      <c r="C131" s="216" t="s">
        <v>225</v>
      </c>
      <c r="D131" s="217"/>
      <c r="E131" s="217"/>
      <c r="F131" s="217"/>
      <c r="G131" s="217"/>
      <c r="H131" s="218"/>
      <c r="I131" s="219">
        <f>SUM(I125:I130)*1.3</f>
        <v>71.71775</v>
      </c>
      <c r="J131" s="214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</row>
    <row r="132">
      <c r="A132" s="220"/>
      <c r="B132" s="221"/>
      <c r="C132" s="222" t="s">
        <v>260</v>
      </c>
      <c r="D132" s="217"/>
      <c r="E132" s="217"/>
      <c r="F132" s="217"/>
      <c r="G132" s="217"/>
      <c r="H132" s="218"/>
      <c r="I132" s="223"/>
      <c r="J132" s="220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</row>
    <row r="133">
      <c r="A133" s="196"/>
      <c r="B133" s="197">
        <v>15.0</v>
      </c>
      <c r="C133" s="198" t="s">
        <v>261</v>
      </c>
      <c r="D133" s="199"/>
      <c r="E133" s="199"/>
      <c r="F133" s="199"/>
      <c r="G133" s="199"/>
      <c r="H133" s="199"/>
      <c r="I133" s="199"/>
      <c r="J133" s="200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</row>
    <row r="134">
      <c r="A134" s="201"/>
      <c r="B134" s="202"/>
      <c r="C134" s="203" t="s">
        <v>35</v>
      </c>
      <c r="D134" s="204">
        <v>1000.0</v>
      </c>
      <c r="E134" s="205" t="s">
        <v>14</v>
      </c>
      <c r="F134" s="204">
        <v>20.0</v>
      </c>
      <c r="G134" s="204">
        <f t="shared" ref="G134:G141" si="29">IFERROR(F134/D134,0)</f>
        <v>0.02</v>
      </c>
      <c r="H134" s="204">
        <v>1000.0</v>
      </c>
      <c r="I134" s="204">
        <f t="shared" ref="I134:I141" si="30">IFERROR(G134*H134,0)</f>
        <v>20</v>
      </c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</row>
    <row r="135">
      <c r="A135" s="206"/>
      <c r="B135" s="207"/>
      <c r="C135" s="208" t="s">
        <v>37</v>
      </c>
      <c r="D135" s="209">
        <v>1000.0</v>
      </c>
      <c r="E135" s="210" t="s">
        <v>14</v>
      </c>
      <c r="F135" s="209">
        <v>29.0</v>
      </c>
      <c r="G135" s="209">
        <f t="shared" si="29"/>
        <v>0.029</v>
      </c>
      <c r="H135" s="209">
        <v>160.0</v>
      </c>
      <c r="I135" s="209">
        <f t="shared" si="30"/>
        <v>4.64</v>
      </c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</row>
    <row r="136">
      <c r="A136" s="201"/>
      <c r="B136" s="202"/>
      <c r="C136" s="203" t="s">
        <v>222</v>
      </c>
      <c r="D136" s="204">
        <v>1000.0</v>
      </c>
      <c r="E136" s="205" t="s">
        <v>14</v>
      </c>
      <c r="F136" s="204">
        <v>80.0</v>
      </c>
      <c r="G136" s="204">
        <f t="shared" si="29"/>
        <v>0.08</v>
      </c>
      <c r="H136" s="204">
        <v>50.0</v>
      </c>
      <c r="I136" s="204">
        <f t="shared" si="30"/>
        <v>4</v>
      </c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</row>
    <row r="137">
      <c r="A137" s="206"/>
      <c r="B137" s="207"/>
      <c r="C137" s="208" t="s">
        <v>59</v>
      </c>
      <c r="D137" s="209">
        <v>1000.0</v>
      </c>
      <c r="E137" s="210" t="s">
        <v>14</v>
      </c>
      <c r="F137" s="209">
        <v>100.0</v>
      </c>
      <c r="G137" s="209">
        <f t="shared" si="29"/>
        <v>0.1</v>
      </c>
      <c r="H137" s="209">
        <v>30.0</v>
      </c>
      <c r="I137" s="209">
        <f t="shared" si="30"/>
        <v>3</v>
      </c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</row>
    <row r="138">
      <c r="A138" s="201"/>
      <c r="B138" s="202"/>
      <c r="C138" s="203" t="s">
        <v>253</v>
      </c>
      <c r="D138" s="204">
        <v>1000.0</v>
      </c>
      <c r="E138" s="205" t="s">
        <v>14</v>
      </c>
      <c r="F138" s="204">
        <v>110.0</v>
      </c>
      <c r="G138" s="204">
        <f t="shared" si="29"/>
        <v>0.11</v>
      </c>
      <c r="H138" s="204">
        <v>7.0</v>
      </c>
      <c r="I138" s="204">
        <f t="shared" si="30"/>
        <v>0.77</v>
      </c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</row>
    <row r="139">
      <c r="A139" s="206"/>
      <c r="B139" s="207"/>
      <c r="C139" s="208" t="s">
        <v>83</v>
      </c>
      <c r="D139" s="209">
        <v>650.0</v>
      </c>
      <c r="E139" s="210" t="s">
        <v>84</v>
      </c>
      <c r="F139" s="209">
        <v>165.0</v>
      </c>
      <c r="G139" s="209">
        <f t="shared" si="29"/>
        <v>0.2538461538</v>
      </c>
      <c r="H139" s="209">
        <v>3.0</v>
      </c>
      <c r="I139" s="209">
        <f t="shared" si="30"/>
        <v>0.7615384615</v>
      </c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</row>
    <row r="140">
      <c r="A140" s="201"/>
      <c r="B140" s="202"/>
      <c r="C140" s="203" t="s">
        <v>81</v>
      </c>
      <c r="D140" s="204">
        <v>1000.0</v>
      </c>
      <c r="E140" s="205" t="s">
        <v>14</v>
      </c>
      <c r="F140" s="204">
        <v>15.0</v>
      </c>
      <c r="G140" s="204">
        <f t="shared" si="29"/>
        <v>0.015</v>
      </c>
      <c r="H140" s="204">
        <v>0.5</v>
      </c>
      <c r="I140" s="204">
        <f t="shared" si="30"/>
        <v>0.0075</v>
      </c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</row>
    <row r="141">
      <c r="A141" s="206"/>
      <c r="B141" s="207"/>
      <c r="C141" s="208" t="s">
        <v>259</v>
      </c>
      <c r="D141" s="209">
        <v>1000.0</v>
      </c>
      <c r="E141" s="210" t="s">
        <v>14</v>
      </c>
      <c r="F141" s="209">
        <v>250.0</v>
      </c>
      <c r="G141" s="209">
        <f t="shared" si="29"/>
        <v>0.25</v>
      </c>
      <c r="H141" s="209">
        <v>6.5</v>
      </c>
      <c r="I141" s="209">
        <f t="shared" si="30"/>
        <v>1.625</v>
      </c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</row>
    <row r="142">
      <c r="A142" s="214"/>
      <c r="B142" s="215"/>
      <c r="C142" s="216" t="s">
        <v>225</v>
      </c>
      <c r="D142" s="217"/>
      <c r="E142" s="217"/>
      <c r="F142" s="217"/>
      <c r="G142" s="217"/>
      <c r="H142" s="218"/>
      <c r="I142" s="219">
        <f>SUM(I134:I141)*1.3</f>
        <v>45.24525</v>
      </c>
      <c r="J142" s="214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</row>
    <row r="143">
      <c r="A143" s="220"/>
      <c r="B143" s="221"/>
      <c r="C143" s="222" t="s">
        <v>262</v>
      </c>
      <c r="D143" s="217"/>
      <c r="E143" s="217"/>
      <c r="F143" s="217"/>
      <c r="G143" s="217"/>
      <c r="H143" s="218"/>
      <c r="I143" s="223"/>
      <c r="J143" s="224" t="str">
        <f>I142/I143</f>
        <v>#DIV/0!</v>
      </c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</row>
    <row r="144">
      <c r="A144" s="196"/>
      <c r="B144" s="197">
        <v>16.0</v>
      </c>
      <c r="C144" s="198" t="s">
        <v>263</v>
      </c>
      <c r="D144" s="199"/>
      <c r="E144" s="199"/>
      <c r="F144" s="199"/>
      <c r="G144" s="199"/>
      <c r="H144" s="199"/>
      <c r="I144" s="199"/>
      <c r="J144" s="200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</row>
    <row r="145">
      <c r="A145" s="201"/>
      <c r="B145" s="202"/>
      <c r="C145" s="203" t="s">
        <v>64</v>
      </c>
      <c r="D145" s="204">
        <v>1000.0</v>
      </c>
      <c r="E145" s="205" t="s">
        <v>14</v>
      </c>
      <c r="F145" s="204">
        <v>90.0</v>
      </c>
      <c r="G145" s="204">
        <f t="shared" ref="G145:G147" si="31">IFERROR(F145/D145,0)</f>
        <v>0.09</v>
      </c>
      <c r="H145" s="204">
        <v>80.0</v>
      </c>
      <c r="I145" s="204">
        <f t="shared" ref="I145:I147" si="32">IFERROR(G145*H145,0)</f>
        <v>7.2</v>
      </c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</row>
    <row r="146">
      <c r="A146" s="206"/>
      <c r="B146" s="207"/>
      <c r="C146" s="208" t="s">
        <v>264</v>
      </c>
      <c r="D146" s="209">
        <v>90.0</v>
      </c>
      <c r="E146" s="210" t="s">
        <v>18</v>
      </c>
      <c r="F146" s="209">
        <v>357.0</v>
      </c>
      <c r="G146" s="209">
        <f t="shared" si="31"/>
        <v>3.966666667</v>
      </c>
      <c r="H146" s="209">
        <v>1.0</v>
      </c>
      <c r="I146" s="209">
        <f t="shared" si="32"/>
        <v>3.966666667</v>
      </c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</row>
    <row r="147">
      <c r="A147" s="201"/>
      <c r="B147" s="202"/>
      <c r="C147" s="203" t="s">
        <v>247</v>
      </c>
      <c r="D147" s="204">
        <v>1000.0</v>
      </c>
      <c r="E147" s="205" t="s">
        <v>14</v>
      </c>
      <c r="F147" s="204">
        <v>78.0</v>
      </c>
      <c r="G147" s="204">
        <f t="shared" si="31"/>
        <v>0.078</v>
      </c>
      <c r="H147" s="204">
        <v>50.0</v>
      </c>
      <c r="I147" s="204">
        <f t="shared" si="32"/>
        <v>3.9</v>
      </c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</row>
    <row r="148">
      <c r="A148" s="214"/>
      <c r="B148" s="215"/>
      <c r="C148" s="216" t="s">
        <v>225</v>
      </c>
      <c r="D148" s="217"/>
      <c r="E148" s="217"/>
      <c r="F148" s="217"/>
      <c r="G148" s="217"/>
      <c r="H148" s="218"/>
      <c r="I148" s="219">
        <f>SUM(I145:I147)*1.3</f>
        <v>19.58666667</v>
      </c>
      <c r="J148" s="214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</row>
    <row r="149">
      <c r="A149" s="220"/>
      <c r="B149" s="221"/>
      <c r="C149" s="222" t="s">
        <v>265</v>
      </c>
      <c r="D149" s="217"/>
      <c r="E149" s="217"/>
      <c r="F149" s="217"/>
      <c r="G149" s="217"/>
      <c r="H149" s="218"/>
      <c r="I149" s="223"/>
      <c r="J149" s="224" t="str">
        <f>I148/I149</f>
        <v>#DIV/0!</v>
      </c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</row>
    <row r="150">
      <c r="A150" s="196"/>
      <c r="B150" s="197">
        <v>17.0</v>
      </c>
      <c r="C150" s="198" t="s">
        <v>266</v>
      </c>
      <c r="D150" s="199"/>
      <c r="E150" s="199"/>
      <c r="F150" s="199"/>
      <c r="G150" s="199"/>
      <c r="H150" s="199"/>
      <c r="I150" s="199"/>
      <c r="J150" s="200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</row>
    <row r="151">
      <c r="A151" s="201"/>
      <c r="B151" s="202"/>
      <c r="C151" s="203" t="s">
        <v>39</v>
      </c>
      <c r="D151" s="204">
        <v>1000.0</v>
      </c>
      <c r="E151" s="205" t="s">
        <v>14</v>
      </c>
      <c r="F151" s="225">
        <v>95.0</v>
      </c>
      <c r="G151" s="204">
        <f t="shared" ref="G151:G155" si="33">IFERROR(F151/D151,0)</f>
        <v>0.095</v>
      </c>
      <c r="H151" s="204">
        <v>1000.0</v>
      </c>
      <c r="I151" s="204">
        <f t="shared" ref="I151:I155" si="34">IFERROR(G151*H151,0)</f>
        <v>95</v>
      </c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</row>
    <row r="152">
      <c r="A152" s="206"/>
      <c r="B152" s="207"/>
      <c r="C152" s="208" t="s">
        <v>85</v>
      </c>
      <c r="D152" s="209">
        <v>1000.0</v>
      </c>
      <c r="E152" s="210" t="s">
        <v>14</v>
      </c>
      <c r="F152" s="209">
        <v>35.0</v>
      </c>
      <c r="G152" s="209">
        <f t="shared" si="33"/>
        <v>0.035</v>
      </c>
      <c r="H152" s="209">
        <v>300.0</v>
      </c>
      <c r="I152" s="209">
        <f t="shared" si="34"/>
        <v>10.5</v>
      </c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</row>
    <row r="153">
      <c r="A153" s="201"/>
      <c r="B153" s="202"/>
      <c r="C153" s="203" t="s">
        <v>99</v>
      </c>
      <c r="D153" s="204">
        <v>0.0</v>
      </c>
      <c r="E153" s="205" t="s">
        <v>14</v>
      </c>
      <c r="F153" s="204">
        <v>0.0</v>
      </c>
      <c r="G153" s="204">
        <f t="shared" si="33"/>
        <v>0</v>
      </c>
      <c r="H153" s="204">
        <v>0.0</v>
      </c>
      <c r="I153" s="204">
        <f t="shared" si="34"/>
        <v>0</v>
      </c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</row>
    <row r="154">
      <c r="A154" s="206"/>
      <c r="B154" s="207"/>
      <c r="C154" s="208" t="s">
        <v>78</v>
      </c>
      <c r="D154" s="212">
        <v>1500.0</v>
      </c>
      <c r="E154" s="210" t="s">
        <v>14</v>
      </c>
      <c r="F154" s="212">
        <v>1300.0</v>
      </c>
      <c r="G154" s="209">
        <f t="shared" si="33"/>
        <v>0.8666666667</v>
      </c>
      <c r="H154" s="209">
        <v>300.0</v>
      </c>
      <c r="I154" s="209">
        <f t="shared" si="34"/>
        <v>260</v>
      </c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</row>
    <row r="155">
      <c r="A155" s="201"/>
      <c r="B155" s="202"/>
      <c r="C155" s="203" t="s">
        <v>81</v>
      </c>
      <c r="D155" s="204">
        <v>1000.0</v>
      </c>
      <c r="E155" s="205" t="s">
        <v>14</v>
      </c>
      <c r="F155" s="204">
        <v>15.0</v>
      </c>
      <c r="G155" s="204">
        <f t="shared" si="33"/>
        <v>0.015</v>
      </c>
      <c r="H155" s="204">
        <v>8.0</v>
      </c>
      <c r="I155" s="204">
        <f t="shared" si="34"/>
        <v>0.12</v>
      </c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</row>
    <row r="156">
      <c r="A156" s="214"/>
      <c r="B156" s="215"/>
      <c r="C156" s="216" t="s">
        <v>225</v>
      </c>
      <c r="D156" s="217"/>
      <c r="E156" s="217"/>
      <c r="F156" s="217"/>
      <c r="G156" s="217"/>
      <c r="H156" s="218"/>
      <c r="I156" s="219">
        <f>SUM(I151:I155)*1.3</f>
        <v>475.306</v>
      </c>
      <c r="J156" s="214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</row>
    <row r="157">
      <c r="A157" s="220"/>
      <c r="B157" s="221"/>
      <c r="C157" s="222" t="s">
        <v>267</v>
      </c>
      <c r="D157" s="217"/>
      <c r="E157" s="217"/>
      <c r="F157" s="217"/>
      <c r="G157" s="217"/>
      <c r="H157" s="218"/>
      <c r="I157" s="223"/>
      <c r="J157" s="224" t="str">
        <f>I156/I157</f>
        <v>#DIV/0!</v>
      </c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</row>
    <row r="158">
      <c r="A158" s="196"/>
      <c r="B158" s="197">
        <v>18.0</v>
      </c>
      <c r="C158" s="198" t="s">
        <v>147</v>
      </c>
      <c r="D158" s="199"/>
      <c r="E158" s="199"/>
      <c r="F158" s="199"/>
      <c r="G158" s="199"/>
      <c r="H158" s="199"/>
      <c r="I158" s="199"/>
      <c r="J158" s="200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</row>
    <row r="159">
      <c r="A159" s="201"/>
      <c r="B159" s="202"/>
      <c r="C159" s="203" t="s">
        <v>40</v>
      </c>
      <c r="D159" s="204">
        <v>1000.0</v>
      </c>
      <c r="E159" s="205" t="s">
        <v>14</v>
      </c>
      <c r="F159" s="204">
        <v>83.0</v>
      </c>
      <c r="G159" s="204">
        <f t="shared" ref="G159:G160" si="35">IFERROR(F159/D159,0)</f>
        <v>0.083</v>
      </c>
      <c r="H159" s="228">
        <v>200.0</v>
      </c>
      <c r="I159" s="204">
        <f t="shared" ref="I159:I160" si="36">IFERROR(G159*H159,0)</f>
        <v>16.6</v>
      </c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</row>
    <row r="160">
      <c r="A160" s="206"/>
      <c r="B160" s="207"/>
      <c r="C160" s="208" t="s">
        <v>81</v>
      </c>
      <c r="D160" s="209">
        <v>1000.0</v>
      </c>
      <c r="E160" s="210" t="s">
        <v>14</v>
      </c>
      <c r="F160" s="209">
        <v>15.0</v>
      </c>
      <c r="G160" s="209">
        <f t="shared" si="35"/>
        <v>0.015</v>
      </c>
      <c r="H160" s="209">
        <v>0.5</v>
      </c>
      <c r="I160" s="209">
        <f t="shared" si="36"/>
        <v>0.0075</v>
      </c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</row>
    <row r="161">
      <c r="A161" s="214"/>
      <c r="B161" s="215"/>
      <c r="C161" s="216" t="s">
        <v>225</v>
      </c>
      <c r="D161" s="217"/>
      <c r="E161" s="217"/>
      <c r="F161" s="217"/>
      <c r="G161" s="217"/>
      <c r="H161" s="218"/>
      <c r="I161" s="219">
        <f>SUM(I159:I160)*1.3</f>
        <v>21.58975</v>
      </c>
      <c r="J161" s="214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</row>
    <row r="162">
      <c r="A162" s="220"/>
      <c r="B162" s="221"/>
      <c r="C162" s="222" t="s">
        <v>268</v>
      </c>
      <c r="D162" s="217"/>
      <c r="E162" s="217"/>
      <c r="F162" s="217"/>
      <c r="G162" s="217"/>
      <c r="H162" s="218"/>
      <c r="I162" s="226">
        <v>200.0</v>
      </c>
      <c r="J162" s="224">
        <f>I161/I162</f>
        <v>0.10794875</v>
      </c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</row>
    <row r="163">
      <c r="A163" s="196"/>
      <c r="B163" s="197">
        <v>18.0</v>
      </c>
      <c r="C163" s="198" t="s">
        <v>147</v>
      </c>
      <c r="D163" s="199"/>
      <c r="E163" s="199"/>
      <c r="F163" s="199"/>
      <c r="G163" s="199"/>
      <c r="H163" s="199"/>
      <c r="I163" s="199"/>
      <c r="J163" s="200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</row>
    <row r="164">
      <c r="A164" s="201"/>
      <c r="B164" s="202"/>
      <c r="C164" s="203" t="s">
        <v>40</v>
      </c>
      <c r="D164" s="204">
        <v>1000.0</v>
      </c>
      <c r="E164" s="205" t="s">
        <v>14</v>
      </c>
      <c r="F164" s="204">
        <v>83.0</v>
      </c>
      <c r="G164" s="204">
        <f t="shared" ref="G164:G166" si="37">IFERROR(F164/D164,0)</f>
        <v>0.083</v>
      </c>
      <c r="H164" s="228">
        <v>200.0</v>
      </c>
      <c r="I164" s="204">
        <f t="shared" ref="I164:I166" si="38">IFERROR(G164*H164,0)</f>
        <v>16.6</v>
      </c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</row>
    <row r="165">
      <c r="A165" s="206"/>
      <c r="B165" s="207"/>
      <c r="C165" s="208" t="s">
        <v>81</v>
      </c>
      <c r="D165" s="209">
        <v>1000.0</v>
      </c>
      <c r="E165" s="210" t="s">
        <v>14</v>
      </c>
      <c r="F165" s="209">
        <v>15.0</v>
      </c>
      <c r="G165" s="209">
        <f t="shared" si="37"/>
        <v>0.015</v>
      </c>
      <c r="H165" s="209">
        <v>0.5</v>
      </c>
      <c r="I165" s="209">
        <f t="shared" si="38"/>
        <v>0.0075</v>
      </c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</row>
    <row r="166">
      <c r="A166" s="201"/>
      <c r="B166" s="202"/>
      <c r="C166" s="203" t="s">
        <v>250</v>
      </c>
      <c r="D166" s="204">
        <v>1000.0</v>
      </c>
      <c r="E166" s="205" t="s">
        <v>14</v>
      </c>
      <c r="F166" s="204">
        <v>1100.0</v>
      </c>
      <c r="G166" s="204">
        <f t="shared" si="37"/>
        <v>1.1</v>
      </c>
      <c r="H166" s="204">
        <v>5.0</v>
      </c>
      <c r="I166" s="204">
        <f t="shared" si="38"/>
        <v>5.5</v>
      </c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</row>
    <row r="167">
      <c r="A167" s="214"/>
      <c r="B167" s="215"/>
      <c r="C167" s="216" t="s">
        <v>225</v>
      </c>
      <c r="D167" s="217"/>
      <c r="E167" s="217"/>
      <c r="F167" s="217"/>
      <c r="G167" s="217"/>
      <c r="H167" s="218"/>
      <c r="I167" s="219">
        <f>SUM(I164:I166)*1.3</f>
        <v>28.73975</v>
      </c>
      <c r="J167" s="214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</row>
    <row r="168">
      <c r="A168" s="220"/>
      <c r="B168" s="221"/>
      <c r="C168" s="222" t="s">
        <v>269</v>
      </c>
      <c r="D168" s="217"/>
      <c r="E168" s="217"/>
      <c r="F168" s="217"/>
      <c r="G168" s="217"/>
      <c r="H168" s="218"/>
      <c r="I168" s="226">
        <v>220.0</v>
      </c>
      <c r="J168" s="224">
        <f>I167/I168</f>
        <v>0.1306352273</v>
      </c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</row>
    <row r="169">
      <c r="A169" s="229"/>
      <c r="B169" s="230"/>
      <c r="C169" s="231"/>
      <c r="D169" s="231"/>
      <c r="E169" s="231"/>
      <c r="F169" s="231"/>
      <c r="G169" s="231"/>
      <c r="H169" s="231"/>
      <c r="I169" s="232"/>
      <c r="J169" s="233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</row>
    <row r="170">
      <c r="A170" s="234"/>
      <c r="B170" s="235"/>
      <c r="C170" s="236"/>
      <c r="D170" s="236"/>
      <c r="E170" s="236"/>
      <c r="F170" s="236"/>
      <c r="G170" s="236"/>
      <c r="H170" s="236"/>
      <c r="I170" s="236"/>
      <c r="J170" s="236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</row>
    <row r="171">
      <c r="A171" s="196"/>
      <c r="B171" s="197">
        <v>19.0</v>
      </c>
      <c r="C171" s="198" t="s">
        <v>270</v>
      </c>
      <c r="D171" s="199"/>
      <c r="E171" s="199"/>
      <c r="F171" s="199"/>
      <c r="G171" s="199"/>
      <c r="H171" s="199"/>
      <c r="I171" s="199"/>
      <c r="J171" s="200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</row>
    <row r="172">
      <c r="A172" s="201"/>
      <c r="B172" s="202"/>
      <c r="C172" s="203" t="s">
        <v>96</v>
      </c>
      <c r="D172" s="204">
        <v>300.0</v>
      </c>
      <c r="E172" s="205" t="s">
        <v>14</v>
      </c>
      <c r="F172" s="204">
        <v>303.0</v>
      </c>
      <c r="G172" s="204">
        <f t="shared" ref="G172:G178" si="39">IFERROR(F172/D172,0)</f>
        <v>1.01</v>
      </c>
      <c r="H172" s="204">
        <v>170.0</v>
      </c>
      <c r="I172" s="204">
        <f t="shared" ref="I172:I178" si="40">IFERROR(G172*H172,0)</f>
        <v>171.7</v>
      </c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</row>
    <row r="173">
      <c r="A173" s="206"/>
      <c r="B173" s="207"/>
      <c r="C173" s="208" t="s">
        <v>253</v>
      </c>
      <c r="D173" s="209">
        <v>1000.0</v>
      </c>
      <c r="E173" s="210" t="s">
        <v>14</v>
      </c>
      <c r="F173" s="209">
        <v>110.0</v>
      </c>
      <c r="G173" s="209">
        <f t="shared" si="39"/>
        <v>0.11</v>
      </c>
      <c r="H173" s="209">
        <v>7.0</v>
      </c>
      <c r="I173" s="209">
        <f t="shared" si="40"/>
        <v>0.77</v>
      </c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</row>
    <row r="174">
      <c r="A174" s="201"/>
      <c r="B174" s="202"/>
      <c r="C174" s="203" t="s">
        <v>271</v>
      </c>
      <c r="D174" s="204">
        <v>1000.0</v>
      </c>
      <c r="E174" s="205" t="s">
        <v>14</v>
      </c>
      <c r="F174" s="204">
        <v>250.0</v>
      </c>
      <c r="G174" s="204">
        <f t="shared" si="39"/>
        <v>0.25</v>
      </c>
      <c r="H174" s="204">
        <v>7.0</v>
      </c>
      <c r="I174" s="204">
        <f t="shared" si="40"/>
        <v>1.75</v>
      </c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</row>
    <row r="175">
      <c r="A175" s="206"/>
      <c r="B175" s="207"/>
      <c r="C175" s="208" t="s">
        <v>83</v>
      </c>
      <c r="D175" s="209">
        <v>665.0</v>
      </c>
      <c r="E175" s="210" t="s">
        <v>84</v>
      </c>
      <c r="F175" s="209">
        <v>165.0</v>
      </c>
      <c r="G175" s="209">
        <f t="shared" si="39"/>
        <v>0.2481203008</v>
      </c>
      <c r="H175" s="209">
        <v>3.0</v>
      </c>
      <c r="I175" s="209">
        <f t="shared" si="40"/>
        <v>0.7443609023</v>
      </c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</row>
    <row r="176">
      <c r="A176" s="201"/>
      <c r="B176" s="202"/>
      <c r="C176" s="203" t="s">
        <v>43</v>
      </c>
      <c r="D176" s="204">
        <v>1000.0</v>
      </c>
      <c r="E176" s="205" t="s">
        <v>14</v>
      </c>
      <c r="F176" s="204">
        <v>87.0</v>
      </c>
      <c r="G176" s="204">
        <f t="shared" si="39"/>
        <v>0.087</v>
      </c>
      <c r="H176" s="204">
        <v>10.0</v>
      </c>
      <c r="I176" s="204">
        <f t="shared" si="40"/>
        <v>0.87</v>
      </c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</row>
    <row r="177">
      <c r="A177" s="206"/>
      <c r="B177" s="207"/>
      <c r="C177" s="208" t="s">
        <v>81</v>
      </c>
      <c r="D177" s="209">
        <v>1000.0</v>
      </c>
      <c r="E177" s="210" t="s">
        <v>14</v>
      </c>
      <c r="F177" s="209">
        <v>15.0</v>
      </c>
      <c r="G177" s="209">
        <f t="shared" si="39"/>
        <v>0.015</v>
      </c>
      <c r="H177" s="209">
        <v>0.5</v>
      </c>
      <c r="I177" s="209">
        <f t="shared" si="40"/>
        <v>0.0075</v>
      </c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</row>
    <row r="178">
      <c r="A178" s="201"/>
      <c r="B178" s="202"/>
      <c r="C178" s="203" t="s">
        <v>99</v>
      </c>
      <c r="D178" s="204">
        <v>0.0</v>
      </c>
      <c r="E178" s="205" t="s">
        <v>84</v>
      </c>
      <c r="F178" s="204">
        <v>0.0</v>
      </c>
      <c r="G178" s="204">
        <f t="shared" si="39"/>
        <v>0</v>
      </c>
      <c r="H178" s="204">
        <v>1000.0</v>
      </c>
      <c r="I178" s="204">
        <f t="shared" si="40"/>
        <v>0</v>
      </c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</row>
    <row r="179">
      <c r="A179" s="214"/>
      <c r="B179" s="215"/>
      <c r="C179" s="216" t="s">
        <v>225</v>
      </c>
      <c r="D179" s="217"/>
      <c r="E179" s="217"/>
      <c r="F179" s="217"/>
      <c r="G179" s="217"/>
      <c r="H179" s="218"/>
      <c r="I179" s="219">
        <f>SUM(I172:I178)*1.3</f>
        <v>228.5944192</v>
      </c>
      <c r="J179" s="214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</row>
    <row r="180">
      <c r="A180" s="220"/>
      <c r="B180" s="221"/>
      <c r="C180" s="222" t="s">
        <v>272</v>
      </c>
      <c r="D180" s="217"/>
      <c r="E180" s="217"/>
      <c r="F180" s="217"/>
      <c r="G180" s="217"/>
      <c r="H180" s="218"/>
      <c r="I180" s="226">
        <v>220.0</v>
      </c>
      <c r="J180" s="224">
        <f>I179/I180</f>
        <v>1.039065542</v>
      </c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</row>
    <row r="181">
      <c r="A181" s="189"/>
      <c r="B181" s="190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</row>
    <row r="182">
      <c r="A182" s="237" t="s">
        <v>273</v>
      </c>
      <c r="B182" s="187"/>
      <c r="C182" s="187"/>
      <c r="D182" s="187"/>
      <c r="E182" s="187"/>
      <c r="F182" s="187"/>
      <c r="G182" s="187"/>
      <c r="H182" s="187"/>
      <c r="I182" s="187"/>
      <c r="J182" s="188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</row>
    <row r="183">
      <c r="A183" s="192"/>
      <c r="B183" s="193" t="s">
        <v>214</v>
      </c>
      <c r="C183" s="194" t="s">
        <v>105</v>
      </c>
      <c r="D183" s="194" t="s">
        <v>215</v>
      </c>
      <c r="E183" s="194" t="s">
        <v>274</v>
      </c>
      <c r="F183" s="194" t="s">
        <v>4</v>
      </c>
      <c r="G183" s="194" t="s">
        <v>275</v>
      </c>
      <c r="H183" s="194" t="s">
        <v>276</v>
      </c>
      <c r="I183" s="194" t="s">
        <v>219</v>
      </c>
      <c r="J183" s="194" t="s">
        <v>277</v>
      </c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</row>
    <row r="184">
      <c r="A184" s="196"/>
      <c r="B184" s="197">
        <v>1.0</v>
      </c>
      <c r="C184" s="227" t="s">
        <v>278</v>
      </c>
      <c r="D184" s="199"/>
      <c r="E184" s="199"/>
      <c r="F184" s="199"/>
      <c r="G184" s="199"/>
      <c r="H184" s="199"/>
      <c r="I184" s="199"/>
      <c r="J184" s="200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</row>
    <row r="185">
      <c r="A185" s="201"/>
      <c r="B185" s="202"/>
      <c r="C185" s="203" t="s">
        <v>20</v>
      </c>
      <c r="D185" s="204">
        <v>660.0</v>
      </c>
      <c r="E185" s="205" t="s">
        <v>14</v>
      </c>
      <c r="F185" s="204">
        <v>147.0</v>
      </c>
      <c r="G185" s="204">
        <f t="shared" ref="G185:G187" si="41">IFERROR(F185/D185,0)</f>
        <v>0.2227272727</v>
      </c>
      <c r="H185" s="225">
        <v>176.0</v>
      </c>
      <c r="I185" s="204">
        <f t="shared" ref="I185:I187" si="42">IFERROR(G185*H185,0)</f>
        <v>39.2</v>
      </c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</row>
    <row r="186">
      <c r="A186" s="206"/>
      <c r="B186" s="207"/>
      <c r="C186" s="208" t="s">
        <v>279</v>
      </c>
      <c r="D186" s="209">
        <v>10000.0</v>
      </c>
      <c r="E186" s="210" t="s">
        <v>14</v>
      </c>
      <c r="F186" s="209">
        <v>1300.0</v>
      </c>
      <c r="G186" s="209">
        <f t="shared" si="41"/>
        <v>0.13</v>
      </c>
      <c r="H186" s="209">
        <v>20.0</v>
      </c>
      <c r="I186" s="209">
        <f t="shared" si="42"/>
        <v>2.6</v>
      </c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</row>
    <row r="187">
      <c r="A187" s="201"/>
      <c r="B187" s="202"/>
      <c r="C187" s="203" t="s">
        <v>280</v>
      </c>
      <c r="D187" s="204">
        <v>1000.0</v>
      </c>
      <c r="E187" s="205" t="s">
        <v>14</v>
      </c>
      <c r="F187" s="204">
        <v>200.0</v>
      </c>
      <c r="G187" s="204">
        <f t="shared" si="41"/>
        <v>0.2</v>
      </c>
      <c r="H187" s="204">
        <v>0.5</v>
      </c>
      <c r="I187" s="204">
        <f t="shared" si="42"/>
        <v>0.1</v>
      </c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</row>
    <row r="188">
      <c r="A188" s="214"/>
      <c r="B188" s="215"/>
      <c r="C188" s="216" t="s">
        <v>225</v>
      </c>
      <c r="D188" s="217"/>
      <c r="E188" s="217"/>
      <c r="F188" s="217"/>
      <c r="G188" s="217"/>
      <c r="H188" s="218"/>
      <c r="I188" s="219">
        <f>SUM(I185:I187)*1.3</f>
        <v>54.47</v>
      </c>
      <c r="J188" s="214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</row>
    <row r="189">
      <c r="A189" s="220"/>
      <c r="B189" s="221"/>
      <c r="C189" s="222" t="s">
        <v>281</v>
      </c>
      <c r="D189" s="217"/>
      <c r="E189" s="217"/>
      <c r="F189" s="217"/>
      <c r="G189" s="217"/>
      <c r="H189" s="218"/>
      <c r="I189" s="226">
        <v>280.0</v>
      </c>
      <c r="J189" s="224">
        <f>I188/I189</f>
        <v>0.1945357143</v>
      </c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</row>
    <row r="190">
      <c r="A190" s="196"/>
      <c r="B190" s="197">
        <v>2.0</v>
      </c>
      <c r="C190" s="198" t="s">
        <v>138</v>
      </c>
      <c r="D190" s="199"/>
      <c r="E190" s="199"/>
      <c r="F190" s="199"/>
      <c r="G190" s="199"/>
      <c r="H190" s="199"/>
      <c r="I190" s="199"/>
      <c r="J190" s="200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</row>
    <row r="191">
      <c r="A191" s="201"/>
      <c r="B191" s="202"/>
      <c r="C191" s="203" t="s">
        <v>16</v>
      </c>
      <c r="D191" s="204">
        <v>1000.0</v>
      </c>
      <c r="E191" s="205" t="s">
        <v>14</v>
      </c>
      <c r="F191" s="204">
        <v>89.0</v>
      </c>
      <c r="G191" s="204">
        <f t="shared" ref="G191:G193" si="43">IFERROR(F191/D191,0)</f>
        <v>0.089</v>
      </c>
      <c r="H191" s="204">
        <v>200.0</v>
      </c>
      <c r="I191" s="204">
        <f t="shared" ref="I191:I193" si="44">IFERROR(G191*H191,0)</f>
        <v>17.8</v>
      </c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</row>
    <row r="192">
      <c r="A192" s="206"/>
      <c r="B192" s="207"/>
      <c r="C192" s="208" t="s">
        <v>282</v>
      </c>
      <c r="D192" s="209">
        <v>500.0</v>
      </c>
      <c r="E192" s="210" t="s">
        <v>14</v>
      </c>
      <c r="F192" s="209">
        <v>156.39</v>
      </c>
      <c r="G192" s="209">
        <f t="shared" si="43"/>
        <v>0.31278</v>
      </c>
      <c r="H192" s="209">
        <v>50.0</v>
      </c>
      <c r="I192" s="209">
        <f t="shared" si="44"/>
        <v>15.639</v>
      </c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</row>
    <row r="193">
      <c r="A193" s="201"/>
      <c r="B193" s="202"/>
      <c r="C193" s="203" t="s">
        <v>283</v>
      </c>
      <c r="D193" s="204">
        <v>1000.0</v>
      </c>
      <c r="E193" s="205" t="s">
        <v>14</v>
      </c>
      <c r="F193" s="204">
        <v>110.0</v>
      </c>
      <c r="G193" s="204">
        <f t="shared" si="43"/>
        <v>0.11</v>
      </c>
      <c r="H193" s="204">
        <v>10.0</v>
      </c>
      <c r="I193" s="204">
        <f t="shared" si="44"/>
        <v>1.1</v>
      </c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</row>
    <row r="194">
      <c r="A194" s="214"/>
      <c r="B194" s="215"/>
      <c r="C194" s="216" t="s">
        <v>225</v>
      </c>
      <c r="D194" s="217"/>
      <c r="E194" s="217"/>
      <c r="F194" s="217"/>
      <c r="G194" s="217"/>
      <c r="H194" s="218"/>
      <c r="I194" s="219">
        <f>SUM(I191:I193)*1.3</f>
        <v>44.9007</v>
      </c>
      <c r="J194" s="214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</row>
    <row r="195">
      <c r="A195" s="220"/>
      <c r="B195" s="221"/>
      <c r="C195" s="222" t="s">
        <v>284</v>
      </c>
      <c r="D195" s="217"/>
      <c r="E195" s="217"/>
      <c r="F195" s="217"/>
      <c r="G195" s="217"/>
      <c r="H195" s="218"/>
      <c r="I195" s="226">
        <v>280.0</v>
      </c>
      <c r="J195" s="224">
        <f>I194/I195</f>
        <v>0.1603596429</v>
      </c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</row>
    <row r="196">
      <c r="A196" s="196"/>
      <c r="B196" s="197">
        <v>3.0</v>
      </c>
      <c r="C196" s="198" t="s">
        <v>140</v>
      </c>
      <c r="D196" s="199"/>
      <c r="E196" s="199"/>
      <c r="F196" s="199"/>
      <c r="G196" s="199"/>
      <c r="H196" s="199"/>
      <c r="I196" s="199"/>
      <c r="J196" s="200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</row>
    <row r="197">
      <c r="A197" s="201"/>
      <c r="B197" s="202"/>
      <c r="C197" s="203" t="s">
        <v>16</v>
      </c>
      <c r="D197" s="204">
        <v>1000.0</v>
      </c>
      <c r="E197" s="205" t="s">
        <v>14</v>
      </c>
      <c r="F197" s="204">
        <v>89.0</v>
      </c>
      <c r="G197" s="204">
        <f t="shared" ref="G197:G199" si="45">IFERROR(F197/D197,0)</f>
        <v>0.089</v>
      </c>
      <c r="H197" s="204">
        <v>200.0</v>
      </c>
      <c r="I197" s="204">
        <f t="shared" ref="I197:I199" si="46">IFERROR(G197*H197,0)</f>
        <v>17.8</v>
      </c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</row>
    <row r="198">
      <c r="A198" s="206"/>
      <c r="B198" s="207"/>
      <c r="C198" s="208" t="s">
        <v>43</v>
      </c>
      <c r="D198" s="209">
        <v>1000.0</v>
      </c>
      <c r="E198" s="210" t="s">
        <v>14</v>
      </c>
      <c r="F198" s="209">
        <v>87.0</v>
      </c>
      <c r="G198" s="209">
        <f t="shared" si="45"/>
        <v>0.087</v>
      </c>
      <c r="H198" s="209">
        <v>15.0</v>
      </c>
      <c r="I198" s="209">
        <f t="shared" si="46"/>
        <v>1.305</v>
      </c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</row>
    <row r="199">
      <c r="A199" s="201"/>
      <c r="B199" s="202"/>
      <c r="C199" s="203" t="s">
        <v>285</v>
      </c>
      <c r="D199" s="204">
        <v>400.0</v>
      </c>
      <c r="E199" s="205" t="s">
        <v>14</v>
      </c>
      <c r="F199" s="204">
        <v>93.89</v>
      </c>
      <c r="G199" s="204">
        <f t="shared" si="45"/>
        <v>0.234725</v>
      </c>
      <c r="H199" s="204">
        <v>50.0</v>
      </c>
      <c r="I199" s="204">
        <f t="shared" si="46"/>
        <v>11.73625</v>
      </c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</row>
    <row r="200">
      <c r="A200" s="214"/>
      <c r="B200" s="215"/>
      <c r="C200" s="216" t="s">
        <v>225</v>
      </c>
      <c r="D200" s="217"/>
      <c r="E200" s="217"/>
      <c r="F200" s="217"/>
      <c r="G200" s="217"/>
      <c r="H200" s="218"/>
      <c r="I200" s="219">
        <f>SUM(I197:I199)*1.3</f>
        <v>40.093625</v>
      </c>
      <c r="J200" s="214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</row>
    <row r="201">
      <c r="A201" s="220"/>
      <c r="B201" s="221"/>
      <c r="C201" s="222" t="s">
        <v>286</v>
      </c>
      <c r="D201" s="217"/>
      <c r="E201" s="217"/>
      <c r="F201" s="217"/>
      <c r="G201" s="217"/>
      <c r="H201" s="218"/>
      <c r="I201" s="226">
        <v>280.0</v>
      </c>
      <c r="J201" s="224">
        <f>I200/I201</f>
        <v>0.1431915179</v>
      </c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</row>
    <row r="202">
      <c r="A202" s="196"/>
      <c r="B202" s="197">
        <v>4.0</v>
      </c>
      <c r="C202" s="198" t="s">
        <v>287</v>
      </c>
      <c r="D202" s="199"/>
      <c r="E202" s="199"/>
      <c r="F202" s="199"/>
      <c r="G202" s="199"/>
      <c r="H202" s="199"/>
      <c r="I202" s="199"/>
      <c r="J202" s="200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</row>
    <row r="203">
      <c r="A203" s="201"/>
      <c r="B203" s="202"/>
      <c r="C203" s="203" t="s">
        <v>52</v>
      </c>
      <c r="D203" s="204">
        <v>1000.0</v>
      </c>
      <c r="E203" s="205" t="s">
        <v>14</v>
      </c>
      <c r="F203" s="204">
        <v>100.0</v>
      </c>
      <c r="G203" s="204">
        <f t="shared" ref="G203:G206" si="47">IFERROR(F203/D203,0)</f>
        <v>0.1</v>
      </c>
      <c r="H203" s="204">
        <v>150.0</v>
      </c>
      <c r="I203" s="204">
        <f t="shared" ref="I203:I206" si="48">IFERROR(G203*H203,0)</f>
        <v>15</v>
      </c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</row>
    <row r="204">
      <c r="A204" s="206"/>
      <c r="B204" s="207"/>
      <c r="C204" s="208" t="s">
        <v>234</v>
      </c>
      <c r="D204" s="209">
        <v>1000.0</v>
      </c>
      <c r="E204" s="210" t="s">
        <v>14</v>
      </c>
      <c r="F204" s="209">
        <v>78.0</v>
      </c>
      <c r="G204" s="209">
        <f t="shared" si="47"/>
        <v>0.078</v>
      </c>
      <c r="H204" s="209">
        <v>100.0</v>
      </c>
      <c r="I204" s="204">
        <f t="shared" si="48"/>
        <v>7.8</v>
      </c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</row>
    <row r="205">
      <c r="A205" s="201"/>
      <c r="B205" s="202"/>
      <c r="C205" s="203" t="s">
        <v>224</v>
      </c>
      <c r="D205" s="204">
        <v>1000.0</v>
      </c>
      <c r="E205" s="205" t="s">
        <v>14</v>
      </c>
      <c r="F205" s="204">
        <v>250.0</v>
      </c>
      <c r="G205" s="204">
        <f t="shared" si="47"/>
        <v>0.25</v>
      </c>
      <c r="H205" s="204">
        <v>0.5</v>
      </c>
      <c r="I205" s="204">
        <f t="shared" si="48"/>
        <v>0.125</v>
      </c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</row>
    <row r="206">
      <c r="A206" s="206"/>
      <c r="B206" s="207"/>
      <c r="C206" s="208" t="s">
        <v>80</v>
      </c>
      <c r="D206" s="209">
        <v>1000.0</v>
      </c>
      <c r="E206" s="210" t="s">
        <v>14</v>
      </c>
      <c r="F206" s="209">
        <v>110.0</v>
      </c>
      <c r="G206" s="209">
        <f t="shared" si="47"/>
        <v>0.11</v>
      </c>
      <c r="H206" s="209">
        <v>0.5</v>
      </c>
      <c r="I206" s="204">
        <f t="shared" si="48"/>
        <v>0.055</v>
      </c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</row>
    <row r="207">
      <c r="A207" s="214"/>
      <c r="B207" s="215"/>
      <c r="C207" s="216" t="s">
        <v>225</v>
      </c>
      <c r="D207" s="217"/>
      <c r="E207" s="217"/>
      <c r="F207" s="217"/>
      <c r="G207" s="217"/>
      <c r="H207" s="218"/>
      <c r="I207" s="219">
        <f>SUM(I203:I206)*1.3</f>
        <v>29.874</v>
      </c>
      <c r="J207" s="214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</row>
    <row r="208">
      <c r="A208" s="220"/>
      <c r="B208" s="221"/>
      <c r="C208" s="222" t="s">
        <v>288</v>
      </c>
      <c r="D208" s="217"/>
      <c r="E208" s="217"/>
      <c r="F208" s="217"/>
      <c r="G208" s="217"/>
      <c r="H208" s="218"/>
      <c r="I208" s="226">
        <v>300.0</v>
      </c>
      <c r="J208" s="224">
        <f>I207/I208</f>
        <v>0.09958</v>
      </c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</row>
    <row r="209">
      <c r="A209" s="196"/>
      <c r="B209" s="197">
        <v>5.0</v>
      </c>
      <c r="C209" s="198" t="s">
        <v>289</v>
      </c>
      <c r="D209" s="199"/>
      <c r="E209" s="199"/>
      <c r="F209" s="199"/>
      <c r="G209" s="199"/>
      <c r="H209" s="199"/>
      <c r="I209" s="199"/>
      <c r="J209" s="200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</row>
    <row r="210">
      <c r="A210" s="201"/>
      <c r="B210" s="202"/>
      <c r="C210" s="203" t="s">
        <v>28</v>
      </c>
      <c r="D210" s="204">
        <v>1000.0</v>
      </c>
      <c r="E210" s="205" t="s">
        <v>14</v>
      </c>
      <c r="F210" s="204">
        <v>275.0</v>
      </c>
      <c r="G210" s="204">
        <f t="shared" ref="G210:G218" si="49">IFERROR(F210/D210,0)</f>
        <v>0.275</v>
      </c>
      <c r="H210" s="204">
        <v>90.0</v>
      </c>
      <c r="I210" s="204">
        <f t="shared" ref="I210:I218" si="50">IFERROR(G210*H210,0)</f>
        <v>24.75</v>
      </c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</row>
    <row r="211">
      <c r="A211" s="206"/>
      <c r="B211" s="207"/>
      <c r="C211" s="208" t="s">
        <v>30</v>
      </c>
      <c r="D211" s="209">
        <v>1000.0</v>
      </c>
      <c r="E211" s="210" t="s">
        <v>14</v>
      </c>
      <c r="F211" s="209">
        <v>230.0</v>
      </c>
      <c r="G211" s="209">
        <f t="shared" si="49"/>
        <v>0.23</v>
      </c>
      <c r="H211" s="209">
        <v>30.0</v>
      </c>
      <c r="I211" s="209">
        <f t="shared" si="50"/>
        <v>6.9</v>
      </c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</row>
    <row r="212">
      <c r="A212" s="201"/>
      <c r="B212" s="202"/>
      <c r="C212" s="238" t="s">
        <v>290</v>
      </c>
      <c r="D212" s="204">
        <v>1000.0</v>
      </c>
      <c r="E212" s="205" t="s">
        <v>14</v>
      </c>
      <c r="F212" s="204">
        <v>65.0</v>
      </c>
      <c r="G212" s="204">
        <f t="shared" si="49"/>
        <v>0.065</v>
      </c>
      <c r="H212" s="204">
        <v>30.0</v>
      </c>
      <c r="I212" s="204">
        <f t="shared" si="50"/>
        <v>1.95</v>
      </c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</row>
    <row r="213">
      <c r="A213" s="206"/>
      <c r="B213" s="207"/>
      <c r="C213" s="208" t="s">
        <v>44</v>
      </c>
      <c r="D213" s="209">
        <v>1000.0</v>
      </c>
      <c r="E213" s="210" t="s">
        <v>14</v>
      </c>
      <c r="F213" s="209">
        <v>90.0</v>
      </c>
      <c r="G213" s="209">
        <f t="shared" si="49"/>
        <v>0.09</v>
      </c>
      <c r="H213" s="209">
        <v>100.0</v>
      </c>
      <c r="I213" s="209">
        <f t="shared" si="50"/>
        <v>9</v>
      </c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</row>
    <row r="214">
      <c r="A214" s="201"/>
      <c r="B214" s="202"/>
      <c r="C214" s="203" t="s">
        <v>234</v>
      </c>
      <c r="D214" s="204">
        <v>1000.0</v>
      </c>
      <c r="E214" s="205" t="s">
        <v>14</v>
      </c>
      <c r="F214" s="204">
        <v>78.0</v>
      </c>
      <c r="G214" s="204">
        <f t="shared" si="49"/>
        <v>0.078</v>
      </c>
      <c r="H214" s="204">
        <v>200.0</v>
      </c>
      <c r="I214" s="204">
        <f t="shared" si="50"/>
        <v>15.6</v>
      </c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</row>
    <row r="215">
      <c r="A215" s="206"/>
      <c r="B215" s="207"/>
      <c r="C215" s="208" t="s">
        <v>17</v>
      </c>
      <c r="D215" s="209">
        <v>90.0</v>
      </c>
      <c r="E215" s="210" t="s">
        <v>14</v>
      </c>
      <c r="F215" s="209">
        <v>357.0</v>
      </c>
      <c r="G215" s="209">
        <f t="shared" si="49"/>
        <v>3.966666667</v>
      </c>
      <c r="H215" s="212">
        <v>1.0</v>
      </c>
      <c r="I215" s="209">
        <f t="shared" si="50"/>
        <v>3.966666667</v>
      </c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</row>
    <row r="216">
      <c r="A216" s="201"/>
      <c r="B216" s="202"/>
      <c r="C216" s="203" t="s">
        <v>224</v>
      </c>
      <c r="D216" s="204">
        <v>1000.0</v>
      </c>
      <c r="E216" s="205" t="s">
        <v>14</v>
      </c>
      <c r="F216" s="204">
        <v>78.0</v>
      </c>
      <c r="G216" s="204">
        <f t="shared" si="49"/>
        <v>0.078</v>
      </c>
      <c r="H216" s="204">
        <v>0.5</v>
      </c>
      <c r="I216" s="204">
        <f t="shared" si="50"/>
        <v>0.039</v>
      </c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</row>
    <row r="217">
      <c r="A217" s="206"/>
      <c r="B217" s="207"/>
      <c r="C217" s="208" t="s">
        <v>59</v>
      </c>
      <c r="D217" s="209">
        <v>1000.0</v>
      </c>
      <c r="E217" s="210" t="s">
        <v>14</v>
      </c>
      <c r="F217" s="209">
        <v>100.0</v>
      </c>
      <c r="G217" s="209">
        <f t="shared" si="49"/>
        <v>0.1</v>
      </c>
      <c r="H217" s="209">
        <v>7.0</v>
      </c>
      <c r="I217" s="209">
        <f t="shared" si="50"/>
        <v>0.7</v>
      </c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</row>
    <row r="218">
      <c r="A218" s="201"/>
      <c r="B218" s="202"/>
      <c r="C218" s="203" t="s">
        <v>46</v>
      </c>
      <c r="D218" s="204">
        <v>1000.0</v>
      </c>
      <c r="E218" s="205" t="s">
        <v>14</v>
      </c>
      <c r="F218" s="204">
        <v>100.0</v>
      </c>
      <c r="G218" s="204">
        <f t="shared" si="49"/>
        <v>0.1</v>
      </c>
      <c r="H218" s="204">
        <v>7.0</v>
      </c>
      <c r="I218" s="204">
        <f t="shared" si="50"/>
        <v>0.7</v>
      </c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</row>
    <row r="219">
      <c r="A219" s="214"/>
      <c r="B219" s="215"/>
      <c r="C219" s="216" t="s">
        <v>225</v>
      </c>
      <c r="D219" s="217"/>
      <c r="E219" s="217"/>
      <c r="F219" s="217"/>
      <c r="G219" s="217"/>
      <c r="H219" s="218"/>
      <c r="I219" s="219">
        <f>SUM(I210:I218)*1.3</f>
        <v>82.68736667</v>
      </c>
      <c r="J219" s="214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</row>
    <row r="220">
      <c r="A220" s="220"/>
      <c r="B220" s="221"/>
      <c r="C220" s="222" t="s">
        <v>291</v>
      </c>
      <c r="D220" s="217"/>
      <c r="E220" s="217"/>
      <c r="F220" s="217"/>
      <c r="G220" s="217"/>
      <c r="H220" s="218"/>
      <c r="I220" s="226">
        <v>360.0</v>
      </c>
      <c r="J220" s="224">
        <f>I219/I220</f>
        <v>0.2296871296</v>
      </c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</row>
    <row r="221">
      <c r="A221" s="196"/>
      <c r="B221" s="239">
        <v>7.0</v>
      </c>
      <c r="C221" s="227" t="s">
        <v>149</v>
      </c>
      <c r="D221" s="199"/>
      <c r="E221" s="199"/>
      <c r="F221" s="199"/>
      <c r="G221" s="199"/>
      <c r="H221" s="199"/>
      <c r="I221" s="199"/>
      <c r="J221" s="200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</row>
    <row r="222">
      <c r="A222" s="201"/>
      <c r="B222" s="202"/>
      <c r="C222" s="240" t="s">
        <v>24</v>
      </c>
      <c r="D222" s="225">
        <v>1000.0</v>
      </c>
      <c r="E222" s="205" t="s">
        <v>14</v>
      </c>
      <c r="F222" s="225">
        <v>192.0</v>
      </c>
      <c r="G222" s="204">
        <f t="shared" ref="G222:G228" si="51">IFERROR(F222/D222,0)</f>
        <v>0.192</v>
      </c>
      <c r="H222" s="225">
        <v>80.0</v>
      </c>
      <c r="I222" s="204">
        <f t="shared" ref="I222:I228" si="52">IFERROR(G222*H222,0)</f>
        <v>15.36</v>
      </c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</row>
    <row r="223">
      <c r="A223" s="206"/>
      <c r="B223" s="207"/>
      <c r="C223" s="241" t="s">
        <v>37</v>
      </c>
      <c r="D223" s="212">
        <v>1000.0</v>
      </c>
      <c r="E223" s="210" t="s">
        <v>14</v>
      </c>
      <c r="F223" s="212">
        <v>29.0</v>
      </c>
      <c r="G223" s="209">
        <f t="shared" si="51"/>
        <v>0.029</v>
      </c>
      <c r="H223" s="212">
        <v>20.0</v>
      </c>
      <c r="I223" s="209">
        <f t="shared" si="52"/>
        <v>0.58</v>
      </c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</row>
    <row r="224">
      <c r="A224" s="201"/>
      <c r="B224" s="202"/>
      <c r="C224" s="241" t="s">
        <v>58</v>
      </c>
      <c r="D224" s="225">
        <v>1000.0</v>
      </c>
      <c r="E224" s="205" t="s">
        <v>14</v>
      </c>
      <c r="F224" s="225">
        <v>29.0</v>
      </c>
      <c r="G224" s="204">
        <f t="shared" si="51"/>
        <v>0.029</v>
      </c>
      <c r="H224" s="225">
        <v>25.0</v>
      </c>
      <c r="I224" s="204">
        <f t="shared" si="52"/>
        <v>0.725</v>
      </c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</row>
    <row r="225">
      <c r="A225" s="206"/>
      <c r="B225" s="207"/>
      <c r="C225" s="241" t="s">
        <v>44</v>
      </c>
      <c r="D225" s="209">
        <v>1000.0</v>
      </c>
      <c r="E225" s="210" t="s">
        <v>14</v>
      </c>
      <c r="F225" s="212">
        <v>90.0</v>
      </c>
      <c r="G225" s="209">
        <f t="shared" si="51"/>
        <v>0.09</v>
      </c>
      <c r="H225" s="212">
        <v>20.0</v>
      </c>
      <c r="I225" s="209">
        <f t="shared" si="52"/>
        <v>1.8</v>
      </c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</row>
    <row r="226">
      <c r="A226" s="201"/>
      <c r="B226" s="202"/>
      <c r="C226" s="242" t="s">
        <v>90</v>
      </c>
      <c r="D226" s="204">
        <v>1000.0</v>
      </c>
      <c r="E226" s="205" t="s">
        <v>14</v>
      </c>
      <c r="F226" s="225">
        <v>130.0</v>
      </c>
      <c r="G226" s="204">
        <f t="shared" si="51"/>
        <v>0.13</v>
      </c>
      <c r="H226" s="225">
        <v>200.0</v>
      </c>
      <c r="I226" s="204">
        <f t="shared" si="52"/>
        <v>26</v>
      </c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</row>
    <row r="227">
      <c r="A227" s="206"/>
      <c r="B227" s="207"/>
      <c r="C227" s="241" t="s">
        <v>292</v>
      </c>
      <c r="D227" s="212">
        <v>200.0</v>
      </c>
      <c r="E227" s="210" t="s">
        <v>14</v>
      </c>
      <c r="F227" s="212">
        <v>15.0</v>
      </c>
      <c r="G227" s="209">
        <f t="shared" si="51"/>
        <v>0.075</v>
      </c>
      <c r="H227" s="209">
        <v>10.0</v>
      </c>
      <c r="I227" s="209">
        <f t="shared" si="52"/>
        <v>0.75</v>
      </c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</row>
    <row r="228">
      <c r="A228" s="201"/>
      <c r="B228" s="202"/>
      <c r="C228" s="241" t="s">
        <v>59</v>
      </c>
      <c r="D228" s="225">
        <v>1000.0</v>
      </c>
      <c r="E228" s="205" t="s">
        <v>18</v>
      </c>
      <c r="F228" s="225">
        <v>100.0</v>
      </c>
      <c r="G228" s="204">
        <f t="shared" si="51"/>
        <v>0.1</v>
      </c>
      <c r="H228" s="225">
        <v>5.0</v>
      </c>
      <c r="I228" s="204">
        <f t="shared" si="52"/>
        <v>0.5</v>
      </c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</row>
    <row r="229">
      <c r="A229" s="206"/>
      <c r="B229" s="207"/>
      <c r="C229" s="208"/>
      <c r="D229" s="209"/>
      <c r="E229" s="210"/>
      <c r="F229" s="209"/>
      <c r="G229" s="209"/>
      <c r="H229" s="209"/>
      <c r="I229" s="20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</row>
    <row r="230">
      <c r="A230" s="214"/>
      <c r="B230" s="215"/>
      <c r="C230" s="216" t="s">
        <v>225</v>
      </c>
      <c r="D230" s="217"/>
      <c r="E230" s="217"/>
      <c r="F230" s="217"/>
      <c r="G230" s="217"/>
      <c r="H230" s="218"/>
      <c r="I230" s="219">
        <f>SUM(I222:I229)*1.3</f>
        <v>59.4295</v>
      </c>
      <c r="J230" s="214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</row>
    <row r="231">
      <c r="A231" s="220"/>
      <c r="B231" s="221"/>
      <c r="C231" s="222" t="s">
        <v>293</v>
      </c>
      <c r="D231" s="217"/>
      <c r="E231" s="217"/>
      <c r="F231" s="217"/>
      <c r="G231" s="217"/>
      <c r="H231" s="218"/>
      <c r="I231" s="226">
        <v>280.0</v>
      </c>
      <c r="J231" s="224">
        <f>I230/I231</f>
        <v>0.2122482143</v>
      </c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</row>
    <row r="232">
      <c r="A232" s="196"/>
      <c r="B232" s="239">
        <v>8.0</v>
      </c>
      <c r="C232" s="227" t="s">
        <v>151</v>
      </c>
      <c r="D232" s="199"/>
      <c r="E232" s="199"/>
      <c r="F232" s="199"/>
      <c r="G232" s="199"/>
      <c r="H232" s="199"/>
      <c r="I232" s="199"/>
      <c r="J232" s="200"/>
      <c r="K232" s="243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</row>
    <row r="233">
      <c r="A233" s="201"/>
      <c r="B233" s="202"/>
      <c r="C233" s="240" t="s">
        <v>294</v>
      </c>
      <c r="D233" s="244">
        <v>1000.0</v>
      </c>
      <c r="E233" s="205" t="s">
        <v>14</v>
      </c>
      <c r="F233" s="225">
        <v>100.0</v>
      </c>
      <c r="G233" s="204">
        <f t="shared" ref="G233:G240" si="53">IFERROR(F233/D233,0)</f>
        <v>0.1</v>
      </c>
      <c r="H233" s="225">
        <v>150.0</v>
      </c>
      <c r="I233" s="209">
        <f t="shared" ref="I233:I240" si="54">IFERROR(G233*H233,0)</f>
        <v>15</v>
      </c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</row>
    <row r="234">
      <c r="A234" s="206"/>
      <c r="B234" s="207"/>
      <c r="C234" s="241" t="s">
        <v>295</v>
      </c>
      <c r="D234" s="213">
        <v>1000.0</v>
      </c>
      <c r="E234" s="210" t="s">
        <v>14</v>
      </c>
      <c r="F234" s="212">
        <v>160.0</v>
      </c>
      <c r="G234" s="204">
        <f t="shared" si="53"/>
        <v>0.16</v>
      </c>
      <c r="H234" s="212">
        <v>80.0</v>
      </c>
      <c r="I234" s="209">
        <f t="shared" si="54"/>
        <v>12.8</v>
      </c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</row>
    <row r="235">
      <c r="A235" s="201"/>
      <c r="B235" s="202"/>
      <c r="C235" s="241" t="s">
        <v>58</v>
      </c>
      <c r="D235" s="244">
        <v>1000.0</v>
      </c>
      <c r="E235" s="205" t="s">
        <v>14</v>
      </c>
      <c r="F235" s="225">
        <v>29.0</v>
      </c>
      <c r="G235" s="204">
        <f t="shared" si="53"/>
        <v>0.029</v>
      </c>
      <c r="H235" s="225">
        <v>10.0</v>
      </c>
      <c r="I235" s="204">
        <f t="shared" si="54"/>
        <v>0.29</v>
      </c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</row>
    <row r="236">
      <c r="A236" s="206"/>
      <c r="B236" s="207"/>
      <c r="C236" s="241" t="s">
        <v>296</v>
      </c>
      <c r="D236" s="213">
        <v>1000.0</v>
      </c>
      <c r="E236" s="210" t="s">
        <v>14</v>
      </c>
      <c r="F236" s="212">
        <v>29.0</v>
      </c>
      <c r="G236" s="204">
        <f t="shared" si="53"/>
        <v>0.029</v>
      </c>
      <c r="H236" s="212">
        <v>30.0</v>
      </c>
      <c r="I236" s="209">
        <f t="shared" si="54"/>
        <v>0.87</v>
      </c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</row>
    <row r="237">
      <c r="A237" s="201"/>
      <c r="B237" s="202"/>
      <c r="C237" s="242" t="s">
        <v>297</v>
      </c>
      <c r="D237" s="244">
        <v>1000.0</v>
      </c>
      <c r="E237" s="205" t="s">
        <v>14</v>
      </c>
      <c r="F237" s="225">
        <v>130.0</v>
      </c>
      <c r="G237" s="204">
        <f t="shared" si="53"/>
        <v>0.13</v>
      </c>
      <c r="H237" s="225">
        <v>200.0</v>
      </c>
      <c r="I237" s="204">
        <f t="shared" si="54"/>
        <v>26</v>
      </c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</row>
    <row r="238">
      <c r="A238" s="206"/>
      <c r="B238" s="207"/>
      <c r="C238" s="241" t="s">
        <v>298</v>
      </c>
      <c r="D238" s="213">
        <v>1000.0</v>
      </c>
      <c r="E238" s="210" t="s">
        <v>14</v>
      </c>
      <c r="F238" s="212">
        <v>80.0</v>
      </c>
      <c r="G238" s="204">
        <f t="shared" si="53"/>
        <v>0.08</v>
      </c>
      <c r="H238" s="212">
        <v>5.0</v>
      </c>
      <c r="I238" s="209">
        <f t="shared" si="54"/>
        <v>0.4</v>
      </c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</row>
    <row r="239">
      <c r="A239" s="201"/>
      <c r="B239" s="202"/>
      <c r="C239" s="241" t="s">
        <v>299</v>
      </c>
      <c r="D239" s="244">
        <v>1000.0</v>
      </c>
      <c r="E239" s="244" t="s">
        <v>14</v>
      </c>
      <c r="F239" s="225">
        <v>80.0</v>
      </c>
      <c r="G239" s="204">
        <f t="shared" si="53"/>
        <v>0.08</v>
      </c>
      <c r="H239" s="225">
        <v>5.0</v>
      </c>
      <c r="I239" s="204">
        <f t="shared" si="54"/>
        <v>0.4</v>
      </c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</row>
    <row r="240">
      <c r="A240" s="206"/>
      <c r="B240" s="207"/>
      <c r="C240" s="211" t="s">
        <v>300</v>
      </c>
      <c r="D240" s="213">
        <v>2000.0</v>
      </c>
      <c r="E240" s="213" t="s">
        <v>14</v>
      </c>
      <c r="F240" s="212">
        <v>763.23</v>
      </c>
      <c r="G240" s="204">
        <f t="shared" si="53"/>
        <v>0.381615</v>
      </c>
      <c r="H240" s="209">
        <v>110.0</v>
      </c>
      <c r="I240" s="209">
        <f t="shared" si="54"/>
        <v>41.97765</v>
      </c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</row>
    <row r="241">
      <c r="A241" s="214"/>
      <c r="B241" s="215"/>
      <c r="C241" s="216" t="s">
        <v>225</v>
      </c>
      <c r="D241" s="217"/>
      <c r="E241" s="217"/>
      <c r="F241" s="217"/>
      <c r="G241" s="217"/>
      <c r="H241" s="218"/>
      <c r="I241" s="219">
        <f>SUM(I233:I240)*1.3</f>
        <v>127.058945</v>
      </c>
      <c r="J241" s="214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</row>
    <row r="242">
      <c r="A242" s="220"/>
      <c r="B242" s="221"/>
      <c r="C242" s="222" t="s">
        <v>301</v>
      </c>
      <c r="D242" s="217"/>
      <c r="E242" s="217"/>
      <c r="F242" s="217"/>
      <c r="G242" s="217"/>
      <c r="H242" s="218"/>
      <c r="I242" s="226">
        <v>280.0</v>
      </c>
      <c r="J242" s="224">
        <f>I241/I242</f>
        <v>0.4537819464</v>
      </c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</row>
    <row r="243">
      <c r="A243" s="189"/>
      <c r="B243" s="190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</row>
    <row r="244">
      <c r="A244" s="189"/>
      <c r="B244" s="190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</row>
    <row r="245">
      <c r="A245" s="245" t="s">
        <v>302</v>
      </c>
      <c r="B245" s="187"/>
      <c r="C245" s="187"/>
      <c r="D245" s="187"/>
      <c r="E245" s="187"/>
      <c r="F245" s="187"/>
      <c r="G245" s="187"/>
      <c r="H245" s="187"/>
      <c r="I245" s="187"/>
      <c r="J245" s="188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</row>
    <row r="246">
      <c r="A246" s="192"/>
      <c r="B246" s="193" t="s">
        <v>214</v>
      </c>
      <c r="C246" s="194" t="s">
        <v>105</v>
      </c>
      <c r="D246" s="194" t="s">
        <v>215</v>
      </c>
      <c r="E246" s="194" t="s">
        <v>274</v>
      </c>
      <c r="F246" s="194" t="s">
        <v>4</v>
      </c>
      <c r="G246" s="194" t="s">
        <v>275</v>
      </c>
      <c r="H246" s="194" t="s">
        <v>276</v>
      </c>
      <c r="I246" s="194" t="s">
        <v>219</v>
      </c>
      <c r="J246" s="194" t="s">
        <v>303</v>
      </c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</row>
    <row r="247">
      <c r="A247" s="196"/>
      <c r="B247" s="197">
        <v>1.0</v>
      </c>
      <c r="C247" s="227" t="s">
        <v>154</v>
      </c>
      <c r="D247" s="199"/>
      <c r="E247" s="199"/>
      <c r="F247" s="199"/>
      <c r="G247" s="199"/>
      <c r="H247" s="199"/>
      <c r="I247" s="199"/>
      <c r="J247" s="200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</row>
    <row r="248">
      <c r="A248" s="201"/>
      <c r="B248" s="202"/>
      <c r="C248" s="203" t="s">
        <v>304</v>
      </c>
      <c r="D248" s="204">
        <v>900.0</v>
      </c>
      <c r="E248" s="205" t="s">
        <v>14</v>
      </c>
      <c r="F248" s="204">
        <v>375.0</v>
      </c>
      <c r="G248" s="204">
        <f t="shared" ref="G248:G255" si="55">IFERROR(F248/D248,0)</f>
        <v>0.4166666667</v>
      </c>
      <c r="H248" s="204">
        <v>170.0</v>
      </c>
      <c r="I248" s="204">
        <f t="shared" ref="I248:I254" si="56">IFERROR(G248*H248,0)</f>
        <v>70.83333333</v>
      </c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</row>
    <row r="249">
      <c r="A249" s="206"/>
      <c r="B249" s="207"/>
      <c r="C249" s="208" t="s">
        <v>66</v>
      </c>
      <c r="D249" s="209">
        <v>2500.0</v>
      </c>
      <c r="E249" s="210" t="s">
        <v>14</v>
      </c>
      <c r="F249" s="209">
        <v>687.59</v>
      </c>
      <c r="G249" s="209">
        <f t="shared" si="55"/>
        <v>0.275036</v>
      </c>
      <c r="H249" s="209">
        <v>20.0</v>
      </c>
      <c r="I249" s="209">
        <f t="shared" si="56"/>
        <v>5.50072</v>
      </c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</row>
    <row r="250">
      <c r="A250" s="201"/>
      <c r="B250" s="246" t="s">
        <v>305</v>
      </c>
      <c r="C250" s="203" t="s">
        <v>92</v>
      </c>
      <c r="D250" s="204">
        <v>5000.0</v>
      </c>
      <c r="E250" s="205" t="s">
        <v>14</v>
      </c>
      <c r="F250" s="204">
        <v>289.0</v>
      </c>
      <c r="G250" s="204">
        <f t="shared" si="55"/>
        <v>0.0578</v>
      </c>
      <c r="H250" s="204">
        <v>200.0</v>
      </c>
      <c r="I250" s="204">
        <f t="shared" si="56"/>
        <v>11.56</v>
      </c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</row>
    <row r="251">
      <c r="A251" s="247"/>
      <c r="B251" s="248" t="s">
        <v>306</v>
      </c>
      <c r="C251" s="249" t="s">
        <v>183</v>
      </c>
      <c r="D251" s="225">
        <v>1500.0</v>
      </c>
      <c r="E251" s="244" t="s">
        <v>14</v>
      </c>
      <c r="F251" s="225">
        <v>175.84</v>
      </c>
      <c r="G251" s="204">
        <f t="shared" si="55"/>
        <v>0.1172266667</v>
      </c>
      <c r="H251" s="225">
        <v>80.0</v>
      </c>
      <c r="I251" s="204">
        <f t="shared" si="56"/>
        <v>9.378133333</v>
      </c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</row>
    <row r="252">
      <c r="A252" s="247"/>
      <c r="B252" s="248" t="s">
        <v>307</v>
      </c>
      <c r="C252" s="249" t="s">
        <v>308</v>
      </c>
      <c r="D252" s="225">
        <v>50.0</v>
      </c>
      <c r="E252" s="244" t="s">
        <v>18</v>
      </c>
      <c r="F252" s="225">
        <v>76.06</v>
      </c>
      <c r="G252" s="204">
        <f t="shared" si="55"/>
        <v>1.5212</v>
      </c>
      <c r="H252" s="225">
        <v>2.0</v>
      </c>
      <c r="I252" s="209">
        <f t="shared" si="56"/>
        <v>3.0424</v>
      </c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</row>
    <row r="253">
      <c r="A253" s="247"/>
      <c r="B253" s="248" t="s">
        <v>307</v>
      </c>
      <c r="C253" s="249" t="s">
        <v>52</v>
      </c>
      <c r="D253" s="225">
        <v>1000.0</v>
      </c>
      <c r="E253" s="244" t="s">
        <v>14</v>
      </c>
      <c r="F253" s="225">
        <v>100.0</v>
      </c>
      <c r="G253" s="204">
        <f t="shared" si="55"/>
        <v>0.1</v>
      </c>
      <c r="H253" s="225">
        <v>20.0</v>
      </c>
      <c r="I253" s="209">
        <f t="shared" si="56"/>
        <v>2</v>
      </c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</row>
    <row r="254">
      <c r="A254" s="247"/>
      <c r="B254" s="248" t="s">
        <v>307</v>
      </c>
      <c r="C254" s="249" t="s">
        <v>21</v>
      </c>
      <c r="D254" s="225">
        <v>500.0</v>
      </c>
      <c r="E254" s="244" t="s">
        <v>14</v>
      </c>
      <c r="F254" s="225">
        <v>110.7</v>
      </c>
      <c r="G254" s="204">
        <f t="shared" si="55"/>
        <v>0.2214</v>
      </c>
      <c r="H254" s="225">
        <v>30.0</v>
      </c>
      <c r="I254" s="209">
        <f t="shared" si="56"/>
        <v>6.642</v>
      </c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</row>
    <row r="255">
      <c r="A255" s="247"/>
      <c r="B255" s="248" t="s">
        <v>307</v>
      </c>
      <c r="C255" s="249" t="s">
        <v>62</v>
      </c>
      <c r="D255" s="225">
        <v>500.0</v>
      </c>
      <c r="E255" s="244" t="s">
        <v>14</v>
      </c>
      <c r="F255" s="225">
        <v>67.48</v>
      </c>
      <c r="G255" s="204">
        <f t="shared" si="55"/>
        <v>0.13496</v>
      </c>
      <c r="H255" s="225">
        <v>20.0</v>
      </c>
      <c r="I255" s="204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</row>
    <row r="256">
      <c r="A256" s="214"/>
      <c r="B256" s="215"/>
      <c r="C256" s="216" t="s">
        <v>225</v>
      </c>
      <c r="D256" s="217"/>
      <c r="E256" s="217"/>
      <c r="F256" s="217"/>
      <c r="G256" s="217"/>
      <c r="H256" s="218"/>
      <c r="I256" s="219">
        <f>SUM(I248:I255)*1.3</f>
        <v>141.6435627</v>
      </c>
      <c r="J256" s="214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</row>
    <row r="257">
      <c r="A257" s="220"/>
      <c r="B257" s="221"/>
      <c r="C257" s="222" t="s">
        <v>309</v>
      </c>
      <c r="D257" s="217"/>
      <c r="E257" s="217"/>
      <c r="F257" s="217"/>
      <c r="G257" s="217"/>
      <c r="H257" s="218"/>
      <c r="I257" s="226">
        <v>490.0</v>
      </c>
      <c r="J257" s="224">
        <f>I256/I257</f>
        <v>0.2890684952</v>
      </c>
      <c r="K257" s="250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</row>
    <row r="258" hidden="1">
      <c r="A258" s="196"/>
      <c r="B258" s="197">
        <v>2.0</v>
      </c>
      <c r="C258" s="227" t="s">
        <v>138</v>
      </c>
      <c r="D258" s="199"/>
      <c r="E258" s="199"/>
      <c r="F258" s="199"/>
      <c r="G258" s="199"/>
      <c r="H258" s="199"/>
      <c r="I258" s="199"/>
      <c r="J258" s="200"/>
      <c r="K258" s="243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</row>
    <row r="259" hidden="1">
      <c r="A259" s="201"/>
      <c r="B259" s="202"/>
      <c r="C259" s="203" t="s">
        <v>310</v>
      </c>
      <c r="D259" s="204">
        <v>1000.0</v>
      </c>
      <c r="E259" s="205" t="s">
        <v>14</v>
      </c>
      <c r="F259" s="204">
        <v>89.0</v>
      </c>
      <c r="G259" s="204">
        <f t="shared" ref="G259:G267" si="57">IFERROR(F259/D259,0)</f>
        <v>0.089</v>
      </c>
      <c r="H259" s="204">
        <v>200.0</v>
      </c>
      <c r="I259" s="204">
        <f t="shared" ref="I259:I267" si="58">IFERROR(G259*H259,0)</f>
        <v>17.8</v>
      </c>
      <c r="J259" s="189"/>
      <c r="K259" s="243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</row>
    <row r="260" hidden="1">
      <c r="A260" s="206"/>
      <c r="B260" s="207"/>
      <c r="C260" s="208" t="s">
        <v>282</v>
      </c>
      <c r="D260" s="209">
        <v>500.0</v>
      </c>
      <c r="E260" s="210" t="s">
        <v>14</v>
      </c>
      <c r="F260" s="209">
        <v>156.39</v>
      </c>
      <c r="G260" s="209">
        <f t="shared" si="57"/>
        <v>0.31278</v>
      </c>
      <c r="H260" s="209">
        <v>50.0</v>
      </c>
      <c r="I260" s="209">
        <f t="shared" si="58"/>
        <v>15.639</v>
      </c>
      <c r="J260" s="189"/>
      <c r="K260" s="243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</row>
    <row r="261" hidden="1">
      <c r="A261" s="201"/>
      <c r="B261" s="202"/>
      <c r="C261" s="203" t="s">
        <v>311</v>
      </c>
      <c r="D261" s="204">
        <v>100.0</v>
      </c>
      <c r="E261" s="205" t="s">
        <v>14</v>
      </c>
      <c r="F261" s="204">
        <v>125.0</v>
      </c>
      <c r="G261" s="204">
        <f t="shared" si="57"/>
        <v>1.25</v>
      </c>
      <c r="H261" s="204">
        <v>10.0</v>
      </c>
      <c r="I261" s="204">
        <f t="shared" si="58"/>
        <v>12.5</v>
      </c>
      <c r="J261" s="189"/>
      <c r="K261" s="243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</row>
    <row r="262" hidden="1">
      <c r="A262" s="206"/>
      <c r="B262" s="251" t="s">
        <v>305</v>
      </c>
      <c r="C262" s="208" t="s">
        <v>92</v>
      </c>
      <c r="D262" s="209">
        <v>5000.0</v>
      </c>
      <c r="E262" s="210" t="s">
        <v>14</v>
      </c>
      <c r="F262" s="209">
        <v>289.0</v>
      </c>
      <c r="G262" s="209">
        <f t="shared" si="57"/>
        <v>0.0578</v>
      </c>
      <c r="H262" s="209">
        <v>200.0</v>
      </c>
      <c r="I262" s="209">
        <f t="shared" si="58"/>
        <v>11.56</v>
      </c>
      <c r="J262" s="189"/>
      <c r="K262" s="243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</row>
    <row r="263" hidden="1">
      <c r="A263" s="201"/>
      <c r="B263" s="248" t="s">
        <v>306</v>
      </c>
      <c r="C263" s="203" t="s">
        <v>183</v>
      </c>
      <c r="D263" s="204">
        <v>1500.0</v>
      </c>
      <c r="E263" s="205" t="s">
        <v>14</v>
      </c>
      <c r="F263" s="204">
        <v>175.84</v>
      </c>
      <c r="G263" s="204">
        <f t="shared" si="57"/>
        <v>0.1172266667</v>
      </c>
      <c r="H263" s="204">
        <v>80.0</v>
      </c>
      <c r="I263" s="204">
        <f t="shared" si="58"/>
        <v>9.378133333</v>
      </c>
      <c r="J263" s="189"/>
      <c r="K263" s="243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</row>
    <row r="264" hidden="1">
      <c r="A264" s="206"/>
      <c r="B264" s="248" t="s">
        <v>307</v>
      </c>
      <c r="C264" s="211" t="s">
        <v>52</v>
      </c>
      <c r="D264" s="209">
        <v>1000.0</v>
      </c>
      <c r="E264" s="210" t="s">
        <v>14</v>
      </c>
      <c r="F264" s="209">
        <v>100.0</v>
      </c>
      <c r="G264" s="209">
        <f t="shared" si="57"/>
        <v>0.1</v>
      </c>
      <c r="H264" s="209">
        <v>20.0</v>
      </c>
      <c r="I264" s="209">
        <f t="shared" si="58"/>
        <v>2</v>
      </c>
      <c r="J264" s="189"/>
      <c r="K264" s="243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</row>
    <row r="265" hidden="1">
      <c r="A265" s="201"/>
      <c r="B265" s="248" t="s">
        <v>307</v>
      </c>
      <c r="C265" s="249" t="s">
        <v>35</v>
      </c>
      <c r="D265" s="204">
        <v>1500.0</v>
      </c>
      <c r="E265" s="205" t="s">
        <v>14</v>
      </c>
      <c r="F265" s="204"/>
      <c r="G265" s="204">
        <f t="shared" si="57"/>
        <v>0</v>
      </c>
      <c r="H265" s="204">
        <v>20.0</v>
      </c>
      <c r="I265" s="204">
        <f t="shared" si="58"/>
        <v>0</v>
      </c>
      <c r="J265" s="189"/>
      <c r="K265" s="243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</row>
    <row r="266" hidden="1">
      <c r="A266" s="206"/>
      <c r="B266" s="248" t="s">
        <v>307</v>
      </c>
      <c r="C266" s="211" t="s">
        <v>312</v>
      </c>
      <c r="D266" s="209">
        <v>1000.0</v>
      </c>
      <c r="E266" s="210" t="s">
        <v>14</v>
      </c>
      <c r="F266" s="209">
        <v>59.95</v>
      </c>
      <c r="G266" s="209">
        <f t="shared" si="57"/>
        <v>0.05995</v>
      </c>
      <c r="H266" s="209">
        <v>20.0</v>
      </c>
      <c r="I266" s="209">
        <f t="shared" si="58"/>
        <v>1.199</v>
      </c>
      <c r="J266" s="189"/>
      <c r="K266" s="243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</row>
    <row r="267" hidden="1">
      <c r="A267" s="201"/>
      <c r="B267" s="248" t="s">
        <v>307</v>
      </c>
      <c r="C267" s="249" t="s">
        <v>313</v>
      </c>
      <c r="D267" s="204">
        <v>1000.0</v>
      </c>
      <c r="E267" s="205" t="s">
        <v>14</v>
      </c>
      <c r="F267" s="204">
        <v>390.8</v>
      </c>
      <c r="G267" s="204">
        <f t="shared" si="57"/>
        <v>0.3908</v>
      </c>
      <c r="H267" s="204">
        <v>20.0</v>
      </c>
      <c r="I267" s="204">
        <f t="shared" si="58"/>
        <v>7.816</v>
      </c>
      <c r="J267" s="189"/>
      <c r="K267" s="243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</row>
    <row r="268" hidden="1">
      <c r="A268" s="214"/>
      <c r="B268" s="215"/>
      <c r="C268" s="216" t="s">
        <v>225</v>
      </c>
      <c r="D268" s="217"/>
      <c r="E268" s="217"/>
      <c r="F268" s="217"/>
      <c r="G268" s="217"/>
      <c r="H268" s="218"/>
      <c r="I268" s="219">
        <f>SUM(I259:I267)*1.3</f>
        <v>101.2597733</v>
      </c>
      <c r="J268" s="214"/>
      <c r="K268" s="243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</row>
    <row r="269" hidden="1">
      <c r="A269" s="220"/>
      <c r="B269" s="221"/>
      <c r="C269" s="222" t="s">
        <v>314</v>
      </c>
      <c r="D269" s="217"/>
      <c r="E269" s="217"/>
      <c r="F269" s="217"/>
      <c r="G269" s="217"/>
      <c r="H269" s="218"/>
      <c r="I269" s="223"/>
      <c r="J269" s="220"/>
      <c r="K269" s="243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</row>
    <row r="270" hidden="1">
      <c r="A270" s="196"/>
      <c r="B270" s="197">
        <v>3.0</v>
      </c>
      <c r="C270" s="227" t="s">
        <v>140</v>
      </c>
      <c r="D270" s="199"/>
      <c r="E270" s="199"/>
      <c r="F270" s="199"/>
      <c r="G270" s="199"/>
      <c r="H270" s="199"/>
      <c r="I270" s="199"/>
      <c r="J270" s="200"/>
      <c r="K270" s="243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</row>
    <row r="271" hidden="1">
      <c r="A271" s="201"/>
      <c r="B271" s="202"/>
      <c r="C271" s="203" t="s">
        <v>310</v>
      </c>
      <c r="D271" s="204">
        <v>1000.0</v>
      </c>
      <c r="E271" s="205" t="s">
        <v>14</v>
      </c>
      <c r="F271" s="204">
        <v>89.0</v>
      </c>
      <c r="G271" s="204">
        <f t="shared" ref="G271:G279" si="59">IFERROR(F271/D271,0)</f>
        <v>0.089</v>
      </c>
      <c r="H271" s="204">
        <v>200.0</v>
      </c>
      <c r="I271" s="204">
        <f t="shared" ref="I271:I279" si="60">IFERROR(G271*H271,0)</f>
        <v>17.8</v>
      </c>
      <c r="J271" s="189"/>
      <c r="K271" s="243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</row>
    <row r="272" hidden="1">
      <c r="A272" s="206"/>
      <c r="B272" s="207"/>
      <c r="C272" s="208" t="s">
        <v>315</v>
      </c>
      <c r="D272" s="209">
        <v>400.0</v>
      </c>
      <c r="E272" s="210" t="s">
        <v>14</v>
      </c>
      <c r="F272" s="209">
        <v>93.89</v>
      </c>
      <c r="G272" s="209">
        <f t="shared" si="59"/>
        <v>0.234725</v>
      </c>
      <c r="H272" s="209">
        <v>50.0</v>
      </c>
      <c r="I272" s="209">
        <f t="shared" si="60"/>
        <v>11.73625</v>
      </c>
      <c r="J272" s="189"/>
      <c r="K272" s="243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</row>
    <row r="273" hidden="1">
      <c r="A273" s="201"/>
      <c r="B273" s="202"/>
      <c r="C273" s="203" t="s">
        <v>311</v>
      </c>
      <c r="D273" s="204">
        <v>100.0</v>
      </c>
      <c r="E273" s="205" t="s">
        <v>14</v>
      </c>
      <c r="F273" s="204">
        <v>125.0</v>
      </c>
      <c r="G273" s="204">
        <f t="shared" si="59"/>
        <v>1.25</v>
      </c>
      <c r="H273" s="204">
        <v>10.0</v>
      </c>
      <c r="I273" s="204">
        <f t="shared" si="60"/>
        <v>12.5</v>
      </c>
      <c r="J273" s="189"/>
      <c r="K273" s="243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</row>
    <row r="274" hidden="1">
      <c r="A274" s="206"/>
      <c r="B274" s="207"/>
      <c r="C274" s="208" t="s">
        <v>92</v>
      </c>
      <c r="D274" s="209">
        <v>5000.0</v>
      </c>
      <c r="E274" s="210" t="s">
        <v>14</v>
      </c>
      <c r="F274" s="209">
        <v>289.0</v>
      </c>
      <c r="G274" s="209">
        <f t="shared" si="59"/>
        <v>0.0578</v>
      </c>
      <c r="H274" s="209">
        <v>200.0</v>
      </c>
      <c r="I274" s="209">
        <f t="shared" si="60"/>
        <v>11.56</v>
      </c>
      <c r="J274" s="189"/>
      <c r="K274" s="243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</row>
    <row r="275" hidden="1">
      <c r="A275" s="201"/>
      <c r="B275" s="248" t="s">
        <v>306</v>
      </c>
      <c r="C275" s="203" t="s">
        <v>183</v>
      </c>
      <c r="D275" s="204">
        <v>1500.0</v>
      </c>
      <c r="E275" s="205" t="s">
        <v>14</v>
      </c>
      <c r="F275" s="204">
        <v>175.84</v>
      </c>
      <c r="G275" s="204">
        <f t="shared" si="59"/>
        <v>0.1172266667</v>
      </c>
      <c r="H275" s="204">
        <v>80.0</v>
      </c>
      <c r="I275" s="204">
        <f t="shared" si="60"/>
        <v>9.378133333</v>
      </c>
      <c r="J275" s="189"/>
      <c r="K275" s="243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</row>
    <row r="276" hidden="1">
      <c r="A276" s="206"/>
      <c r="B276" s="248" t="s">
        <v>307</v>
      </c>
      <c r="C276" s="211" t="s">
        <v>52</v>
      </c>
      <c r="D276" s="209">
        <v>1000.0</v>
      </c>
      <c r="E276" s="210" t="s">
        <v>14</v>
      </c>
      <c r="F276" s="209">
        <v>100.0</v>
      </c>
      <c r="G276" s="209">
        <f t="shared" si="59"/>
        <v>0.1</v>
      </c>
      <c r="H276" s="209">
        <v>20.0</v>
      </c>
      <c r="I276" s="209">
        <f t="shared" si="60"/>
        <v>2</v>
      </c>
      <c r="J276" s="189"/>
      <c r="K276" s="243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</row>
    <row r="277" hidden="1">
      <c r="A277" s="201"/>
      <c r="B277" s="248" t="s">
        <v>307</v>
      </c>
      <c r="C277" s="249" t="s">
        <v>35</v>
      </c>
      <c r="D277" s="204">
        <v>1500.0</v>
      </c>
      <c r="E277" s="205" t="s">
        <v>14</v>
      </c>
      <c r="F277" s="204">
        <v>45.24</v>
      </c>
      <c r="G277" s="204">
        <f t="shared" si="59"/>
        <v>0.03016</v>
      </c>
      <c r="H277" s="204">
        <v>20.0</v>
      </c>
      <c r="I277" s="204">
        <f t="shared" si="60"/>
        <v>0.6032</v>
      </c>
      <c r="J277" s="189"/>
      <c r="K277" s="243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</row>
    <row r="278" hidden="1">
      <c r="A278" s="206"/>
      <c r="B278" s="248" t="s">
        <v>307</v>
      </c>
      <c r="C278" s="211" t="s">
        <v>312</v>
      </c>
      <c r="D278" s="209">
        <v>1000.0</v>
      </c>
      <c r="E278" s="210" t="s">
        <v>14</v>
      </c>
      <c r="F278" s="209">
        <v>59.95</v>
      </c>
      <c r="G278" s="209">
        <f t="shared" si="59"/>
        <v>0.05995</v>
      </c>
      <c r="H278" s="209">
        <v>20.0</v>
      </c>
      <c r="I278" s="209">
        <f t="shared" si="60"/>
        <v>1.199</v>
      </c>
      <c r="J278" s="189"/>
      <c r="K278" s="243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</row>
    <row r="279" hidden="1">
      <c r="A279" s="201"/>
      <c r="B279" s="248" t="s">
        <v>307</v>
      </c>
      <c r="C279" s="249" t="s">
        <v>313</v>
      </c>
      <c r="D279" s="204">
        <v>1000.0</v>
      </c>
      <c r="E279" s="205" t="s">
        <v>14</v>
      </c>
      <c r="F279" s="204">
        <v>390.8</v>
      </c>
      <c r="G279" s="204">
        <f t="shared" si="59"/>
        <v>0.3908</v>
      </c>
      <c r="H279" s="204">
        <v>20.0</v>
      </c>
      <c r="I279" s="204">
        <f t="shared" si="60"/>
        <v>7.816</v>
      </c>
      <c r="J279" s="189"/>
      <c r="K279" s="243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</row>
    <row r="280" hidden="1">
      <c r="A280" s="214"/>
      <c r="B280" s="215"/>
      <c r="C280" s="216" t="s">
        <v>225</v>
      </c>
      <c r="D280" s="217"/>
      <c r="E280" s="217"/>
      <c r="F280" s="217"/>
      <c r="G280" s="217"/>
      <c r="H280" s="218"/>
      <c r="I280" s="219">
        <f>SUM(I271:I279)*1.3</f>
        <v>96.97035833</v>
      </c>
      <c r="J280" s="214"/>
      <c r="K280" s="243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</row>
    <row r="281" hidden="1">
      <c r="A281" s="220"/>
      <c r="B281" s="221"/>
      <c r="C281" s="222" t="s">
        <v>316</v>
      </c>
      <c r="D281" s="217"/>
      <c r="E281" s="217"/>
      <c r="F281" s="217"/>
      <c r="G281" s="217"/>
      <c r="H281" s="218"/>
      <c r="I281" s="223"/>
      <c r="J281" s="220"/>
      <c r="K281" s="243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</row>
    <row r="282">
      <c r="A282" s="196"/>
      <c r="B282" s="239">
        <v>2.0</v>
      </c>
      <c r="C282" s="198" t="s">
        <v>156</v>
      </c>
      <c r="D282" s="199"/>
      <c r="E282" s="199"/>
      <c r="F282" s="199"/>
      <c r="G282" s="199"/>
      <c r="H282" s="199"/>
      <c r="I282" s="199"/>
      <c r="J282" s="200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</row>
    <row r="283">
      <c r="A283" s="201"/>
      <c r="B283" s="202"/>
      <c r="C283" s="203" t="s">
        <v>30</v>
      </c>
      <c r="D283" s="204">
        <v>1000.0</v>
      </c>
      <c r="E283" s="205" t="s">
        <v>14</v>
      </c>
      <c r="F283" s="204">
        <v>310.0</v>
      </c>
      <c r="G283" s="204">
        <f t="shared" ref="G283:G295" si="61">IFERROR(F283/D283,0)</f>
        <v>0.31</v>
      </c>
      <c r="H283" s="225">
        <v>150.0</v>
      </c>
      <c r="I283" s="204">
        <f t="shared" ref="I283:I295" si="62">IFERROR(G283*H283,0)</f>
        <v>46.5</v>
      </c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</row>
    <row r="284">
      <c r="A284" s="206"/>
      <c r="B284" s="207"/>
      <c r="C284" s="208" t="s">
        <v>58</v>
      </c>
      <c r="D284" s="209">
        <v>1000.0</v>
      </c>
      <c r="E284" s="210" t="s">
        <v>14</v>
      </c>
      <c r="F284" s="209">
        <v>29.0</v>
      </c>
      <c r="G284" s="209">
        <f t="shared" si="61"/>
        <v>0.029</v>
      </c>
      <c r="H284" s="209">
        <v>40.0</v>
      </c>
      <c r="I284" s="209">
        <f t="shared" si="62"/>
        <v>1.16</v>
      </c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</row>
    <row r="285">
      <c r="A285" s="201"/>
      <c r="B285" s="202"/>
      <c r="C285" s="203" t="s">
        <v>37</v>
      </c>
      <c r="D285" s="204">
        <v>1000.0</v>
      </c>
      <c r="E285" s="205" t="s">
        <v>14</v>
      </c>
      <c r="F285" s="204">
        <v>29.0</v>
      </c>
      <c r="G285" s="204">
        <f t="shared" si="61"/>
        <v>0.029</v>
      </c>
      <c r="H285" s="204">
        <v>20.0</v>
      </c>
      <c r="I285" s="204">
        <f t="shared" si="62"/>
        <v>0.58</v>
      </c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</row>
    <row r="286">
      <c r="A286" s="206"/>
      <c r="B286" s="207"/>
      <c r="C286" s="208" t="s">
        <v>59</v>
      </c>
      <c r="D286" s="209">
        <v>1000.0</v>
      </c>
      <c r="E286" s="210" t="s">
        <v>14</v>
      </c>
      <c r="F286" s="209">
        <v>100.0</v>
      </c>
      <c r="G286" s="209">
        <f t="shared" si="61"/>
        <v>0.1</v>
      </c>
      <c r="H286" s="209">
        <v>20.0</v>
      </c>
      <c r="I286" s="209">
        <f t="shared" si="62"/>
        <v>2</v>
      </c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</row>
    <row r="287">
      <c r="A287" s="201"/>
      <c r="B287" s="202"/>
      <c r="C287" s="203" t="s">
        <v>46</v>
      </c>
      <c r="D287" s="204">
        <v>1000.0</v>
      </c>
      <c r="E287" s="205" t="s">
        <v>14</v>
      </c>
      <c r="F287" s="204">
        <v>100.0</v>
      </c>
      <c r="G287" s="204">
        <f t="shared" si="61"/>
        <v>0.1</v>
      </c>
      <c r="H287" s="204">
        <v>20.0</v>
      </c>
      <c r="I287" s="204">
        <f t="shared" si="62"/>
        <v>2</v>
      </c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</row>
    <row r="288">
      <c r="A288" s="206"/>
      <c r="B288" s="207"/>
      <c r="C288" s="208" t="s">
        <v>73</v>
      </c>
      <c r="D288" s="209">
        <v>2500.0</v>
      </c>
      <c r="E288" s="210" t="s">
        <v>14</v>
      </c>
      <c r="F288" s="209">
        <v>687.59</v>
      </c>
      <c r="G288" s="209">
        <f t="shared" si="61"/>
        <v>0.275036</v>
      </c>
      <c r="H288" s="209">
        <v>50.0</v>
      </c>
      <c r="I288" s="209">
        <f t="shared" si="62"/>
        <v>13.7518</v>
      </c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</row>
    <row r="289">
      <c r="A289" s="201"/>
      <c r="B289" s="202"/>
      <c r="C289" s="203" t="s">
        <v>83</v>
      </c>
      <c r="D289" s="204">
        <v>650.0</v>
      </c>
      <c r="E289" s="205" t="s">
        <v>84</v>
      </c>
      <c r="F289" s="204">
        <v>165.0</v>
      </c>
      <c r="G289" s="204">
        <f t="shared" si="61"/>
        <v>0.2538461538</v>
      </c>
      <c r="H289" s="204">
        <v>3.0</v>
      </c>
      <c r="I289" s="204">
        <f t="shared" si="62"/>
        <v>0.7615384615</v>
      </c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</row>
    <row r="290">
      <c r="A290" s="201"/>
      <c r="B290" s="246" t="s">
        <v>305</v>
      </c>
      <c r="C290" s="203" t="s">
        <v>92</v>
      </c>
      <c r="D290" s="204">
        <v>5000.0</v>
      </c>
      <c r="E290" s="205" t="s">
        <v>14</v>
      </c>
      <c r="F290" s="204">
        <v>289.0</v>
      </c>
      <c r="G290" s="204">
        <f t="shared" si="61"/>
        <v>0.0578</v>
      </c>
      <c r="H290" s="204">
        <v>200.0</v>
      </c>
      <c r="I290" s="204">
        <f t="shared" si="62"/>
        <v>11.56</v>
      </c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</row>
    <row r="291">
      <c r="A291" s="247"/>
      <c r="B291" s="248" t="s">
        <v>306</v>
      </c>
      <c r="C291" s="249" t="s">
        <v>183</v>
      </c>
      <c r="D291" s="225">
        <v>1500.0</v>
      </c>
      <c r="E291" s="244" t="s">
        <v>14</v>
      </c>
      <c r="F291" s="225">
        <v>175.84</v>
      </c>
      <c r="G291" s="204">
        <f t="shared" si="61"/>
        <v>0.1172266667</v>
      </c>
      <c r="H291" s="225">
        <v>80.0</v>
      </c>
      <c r="I291" s="204">
        <f t="shared" si="62"/>
        <v>9.378133333</v>
      </c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</row>
    <row r="292">
      <c r="A292" s="247"/>
      <c r="B292" s="248" t="s">
        <v>307</v>
      </c>
      <c r="C292" s="249" t="s">
        <v>308</v>
      </c>
      <c r="D292" s="225">
        <v>50.0</v>
      </c>
      <c r="E292" s="244" t="s">
        <v>18</v>
      </c>
      <c r="F292" s="225">
        <v>130.0</v>
      </c>
      <c r="G292" s="204">
        <f t="shared" si="61"/>
        <v>2.6</v>
      </c>
      <c r="H292" s="225">
        <v>2.0</v>
      </c>
      <c r="I292" s="209">
        <f t="shared" si="62"/>
        <v>5.2</v>
      </c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</row>
    <row r="293">
      <c r="A293" s="247"/>
      <c r="B293" s="248" t="s">
        <v>307</v>
      </c>
      <c r="C293" s="249" t="s">
        <v>52</v>
      </c>
      <c r="D293" s="225">
        <v>1000.0</v>
      </c>
      <c r="E293" s="244" t="s">
        <v>14</v>
      </c>
      <c r="F293" s="225">
        <v>100.0</v>
      </c>
      <c r="G293" s="204">
        <f t="shared" si="61"/>
        <v>0.1</v>
      </c>
      <c r="H293" s="225">
        <v>20.0</v>
      </c>
      <c r="I293" s="209">
        <f t="shared" si="62"/>
        <v>2</v>
      </c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</row>
    <row r="294">
      <c r="A294" s="247"/>
      <c r="B294" s="248" t="s">
        <v>307</v>
      </c>
      <c r="C294" s="249" t="s">
        <v>21</v>
      </c>
      <c r="D294" s="225">
        <v>500.0</v>
      </c>
      <c r="E294" s="244" t="s">
        <v>14</v>
      </c>
      <c r="F294" s="225">
        <v>110.7</v>
      </c>
      <c r="G294" s="204">
        <f t="shared" si="61"/>
        <v>0.2214</v>
      </c>
      <c r="H294" s="225">
        <v>30.0</v>
      </c>
      <c r="I294" s="209">
        <f t="shared" si="62"/>
        <v>6.642</v>
      </c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</row>
    <row r="295">
      <c r="A295" s="247"/>
      <c r="B295" s="248" t="s">
        <v>307</v>
      </c>
      <c r="C295" s="249" t="s">
        <v>62</v>
      </c>
      <c r="D295" s="225">
        <v>500.0</v>
      </c>
      <c r="E295" s="244" t="s">
        <v>14</v>
      </c>
      <c r="F295" s="225">
        <v>67.48</v>
      </c>
      <c r="G295" s="204">
        <f t="shared" si="61"/>
        <v>0.13496</v>
      </c>
      <c r="H295" s="225">
        <v>20.0</v>
      </c>
      <c r="I295" s="209">
        <f t="shared" si="62"/>
        <v>2.6992</v>
      </c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</row>
    <row r="296">
      <c r="A296" s="214"/>
      <c r="B296" s="215"/>
      <c r="C296" s="216" t="s">
        <v>225</v>
      </c>
      <c r="D296" s="217"/>
      <c r="E296" s="217"/>
      <c r="F296" s="217"/>
      <c r="G296" s="217"/>
      <c r="H296" s="218"/>
      <c r="I296" s="219">
        <f>SUM(I283:I295)*1.3</f>
        <v>135.5024733</v>
      </c>
      <c r="J296" s="214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</row>
    <row r="297">
      <c r="A297" s="220"/>
      <c r="B297" s="221"/>
      <c r="C297" s="222" t="s">
        <v>317</v>
      </c>
      <c r="D297" s="217"/>
      <c r="E297" s="217"/>
      <c r="F297" s="217"/>
      <c r="G297" s="217"/>
      <c r="H297" s="218"/>
      <c r="I297" s="226">
        <v>380.0</v>
      </c>
      <c r="J297" s="224">
        <f>I296/I297</f>
        <v>0.3565854561</v>
      </c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</row>
    <row r="298">
      <c r="A298" s="196"/>
      <c r="B298" s="239">
        <v>3.0</v>
      </c>
      <c r="C298" s="227" t="s">
        <v>158</v>
      </c>
      <c r="D298" s="199"/>
      <c r="E298" s="199"/>
      <c r="F298" s="199"/>
      <c r="G298" s="199"/>
      <c r="H298" s="199"/>
      <c r="I298" s="199"/>
      <c r="J298" s="200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</row>
    <row r="299">
      <c r="A299" s="201"/>
      <c r="B299" s="202"/>
      <c r="C299" s="203" t="s">
        <v>23</v>
      </c>
      <c r="D299" s="204">
        <v>1000.0</v>
      </c>
      <c r="E299" s="205" t="s">
        <v>14</v>
      </c>
      <c r="F299" s="204">
        <v>192.0</v>
      </c>
      <c r="G299" s="204">
        <f t="shared" ref="G299:G309" si="63">IFERROR(F299/D299,0)</f>
        <v>0.192</v>
      </c>
      <c r="H299" s="225">
        <v>200.0</v>
      </c>
      <c r="I299" s="204">
        <f t="shared" ref="I299:I309" si="64">IFERROR(G299*H299,0)</f>
        <v>38.4</v>
      </c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</row>
    <row r="300">
      <c r="A300" s="206"/>
      <c r="B300" s="207"/>
      <c r="C300" s="208" t="s">
        <v>58</v>
      </c>
      <c r="D300" s="209">
        <v>1000.0</v>
      </c>
      <c r="E300" s="210" t="s">
        <v>14</v>
      </c>
      <c r="F300" s="209">
        <v>29.0</v>
      </c>
      <c r="G300" s="209">
        <f t="shared" si="63"/>
        <v>0.029</v>
      </c>
      <c r="H300" s="209">
        <v>40.0</v>
      </c>
      <c r="I300" s="209">
        <f t="shared" si="64"/>
        <v>1.16</v>
      </c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</row>
    <row r="301">
      <c r="A301" s="201"/>
      <c r="B301" s="202"/>
      <c r="C301" s="203" t="s">
        <v>37</v>
      </c>
      <c r="D301" s="204">
        <v>1000.0</v>
      </c>
      <c r="E301" s="205" t="s">
        <v>14</v>
      </c>
      <c r="F301" s="204">
        <v>29.0</v>
      </c>
      <c r="G301" s="204">
        <f t="shared" si="63"/>
        <v>0.029</v>
      </c>
      <c r="H301" s="204">
        <v>20.0</v>
      </c>
      <c r="I301" s="204">
        <f t="shared" si="64"/>
        <v>0.58</v>
      </c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</row>
    <row r="302">
      <c r="A302" s="206"/>
      <c r="B302" s="207"/>
      <c r="C302" s="208" t="s">
        <v>59</v>
      </c>
      <c r="D302" s="209">
        <v>1000.0</v>
      </c>
      <c r="E302" s="210" t="s">
        <v>14</v>
      </c>
      <c r="F302" s="209">
        <v>100.0</v>
      </c>
      <c r="G302" s="209">
        <f t="shared" si="63"/>
        <v>0.1</v>
      </c>
      <c r="H302" s="209">
        <v>20.0</v>
      </c>
      <c r="I302" s="209">
        <f t="shared" si="64"/>
        <v>2</v>
      </c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</row>
    <row r="303">
      <c r="A303" s="201"/>
      <c r="B303" s="202"/>
      <c r="C303" s="203" t="s">
        <v>46</v>
      </c>
      <c r="D303" s="204">
        <v>1000.0</v>
      </c>
      <c r="E303" s="205" t="s">
        <v>14</v>
      </c>
      <c r="F303" s="204">
        <v>100.0</v>
      </c>
      <c r="G303" s="204">
        <f t="shared" si="63"/>
        <v>0.1</v>
      </c>
      <c r="H303" s="204">
        <v>20.0</v>
      </c>
      <c r="I303" s="204">
        <f t="shared" si="64"/>
        <v>2</v>
      </c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</row>
    <row r="304">
      <c r="A304" s="206"/>
      <c r="B304" s="207"/>
      <c r="C304" s="208" t="s">
        <v>73</v>
      </c>
      <c r="D304" s="209">
        <v>2500.0</v>
      </c>
      <c r="E304" s="210" t="s">
        <v>14</v>
      </c>
      <c r="F304" s="209">
        <v>687.59</v>
      </c>
      <c r="G304" s="209">
        <f t="shared" si="63"/>
        <v>0.275036</v>
      </c>
      <c r="H304" s="209">
        <v>50.0</v>
      </c>
      <c r="I304" s="209">
        <f t="shared" si="64"/>
        <v>13.7518</v>
      </c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</row>
    <row r="305">
      <c r="A305" s="201"/>
      <c r="B305" s="202"/>
      <c r="C305" s="203" t="s">
        <v>83</v>
      </c>
      <c r="D305" s="204">
        <v>650.0</v>
      </c>
      <c r="E305" s="205" t="s">
        <v>84</v>
      </c>
      <c r="F305" s="204">
        <v>165.0</v>
      </c>
      <c r="G305" s="204">
        <f t="shared" si="63"/>
        <v>0.2538461538</v>
      </c>
      <c r="H305" s="204">
        <v>3.0</v>
      </c>
      <c r="I305" s="204">
        <f t="shared" si="64"/>
        <v>0.7615384615</v>
      </c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</row>
    <row r="306">
      <c r="A306" s="247"/>
      <c r="B306" s="248" t="s">
        <v>306</v>
      </c>
      <c r="C306" s="203" t="s">
        <v>183</v>
      </c>
      <c r="D306" s="225">
        <v>1500.0</v>
      </c>
      <c r="E306" s="244" t="s">
        <v>14</v>
      </c>
      <c r="F306" s="225">
        <v>175.84</v>
      </c>
      <c r="G306" s="204">
        <f t="shared" si="63"/>
        <v>0.1172266667</v>
      </c>
      <c r="H306" s="225">
        <v>80.0</v>
      </c>
      <c r="I306" s="204">
        <f t="shared" si="64"/>
        <v>9.378133333</v>
      </c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</row>
    <row r="307">
      <c r="A307" s="247"/>
      <c r="B307" s="248" t="s">
        <v>307</v>
      </c>
      <c r="C307" s="249" t="s">
        <v>308</v>
      </c>
      <c r="D307" s="225">
        <v>50.0</v>
      </c>
      <c r="E307" s="244" t="s">
        <v>18</v>
      </c>
      <c r="F307" s="225">
        <v>98.89</v>
      </c>
      <c r="G307" s="204">
        <f t="shared" si="63"/>
        <v>1.9778</v>
      </c>
      <c r="H307" s="225">
        <v>2.0</v>
      </c>
      <c r="I307" s="209">
        <f t="shared" si="64"/>
        <v>3.9556</v>
      </c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</row>
    <row r="308">
      <c r="A308" s="247"/>
      <c r="B308" s="248" t="s">
        <v>307</v>
      </c>
      <c r="C308" s="249" t="s">
        <v>52</v>
      </c>
      <c r="D308" s="225">
        <v>1000.0</v>
      </c>
      <c r="E308" s="244" t="s">
        <v>14</v>
      </c>
      <c r="F308" s="225">
        <v>100.0</v>
      </c>
      <c r="G308" s="204">
        <f t="shared" si="63"/>
        <v>0.1</v>
      </c>
      <c r="H308" s="225">
        <v>20.0</v>
      </c>
      <c r="I308" s="209">
        <f t="shared" si="64"/>
        <v>2</v>
      </c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</row>
    <row r="309">
      <c r="A309" s="247"/>
      <c r="B309" s="248" t="s">
        <v>307</v>
      </c>
      <c r="C309" s="249" t="s">
        <v>21</v>
      </c>
      <c r="D309" s="225">
        <v>500.0</v>
      </c>
      <c r="E309" s="244" t="s">
        <v>14</v>
      </c>
      <c r="F309" s="225">
        <v>110.7</v>
      </c>
      <c r="G309" s="204">
        <f t="shared" si="63"/>
        <v>0.2214</v>
      </c>
      <c r="H309" s="225">
        <v>30.0</v>
      </c>
      <c r="I309" s="209">
        <f t="shared" si="64"/>
        <v>6.642</v>
      </c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</row>
    <row r="310">
      <c r="A310" s="247"/>
      <c r="B310" s="248" t="s">
        <v>307</v>
      </c>
      <c r="C310" s="249" t="s">
        <v>62</v>
      </c>
      <c r="D310" s="225">
        <v>500.0</v>
      </c>
      <c r="E310" s="244" t="s">
        <v>14</v>
      </c>
      <c r="F310" s="225">
        <v>67.48</v>
      </c>
      <c r="G310" s="204"/>
      <c r="H310" s="225">
        <v>20.0</v>
      </c>
      <c r="I310" s="204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</row>
    <row r="311">
      <c r="A311" s="214"/>
      <c r="B311" s="215"/>
      <c r="C311" s="216" t="s">
        <v>225</v>
      </c>
      <c r="D311" s="217"/>
      <c r="E311" s="217"/>
      <c r="F311" s="217"/>
      <c r="G311" s="217"/>
      <c r="H311" s="218"/>
      <c r="I311" s="219">
        <f>SUM(I299:I310)*1.3</f>
        <v>104.8177933</v>
      </c>
      <c r="J311" s="214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</row>
    <row r="312">
      <c r="A312" s="220"/>
      <c r="B312" s="221"/>
      <c r="C312" s="222" t="s">
        <v>318</v>
      </c>
      <c r="D312" s="217"/>
      <c r="E312" s="217"/>
      <c r="F312" s="217"/>
      <c r="G312" s="217"/>
      <c r="H312" s="218"/>
      <c r="I312" s="226">
        <v>360.0</v>
      </c>
      <c r="J312" s="224">
        <f>I311/I312</f>
        <v>0.291160537</v>
      </c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</row>
    <row r="313">
      <c r="A313" s="196"/>
      <c r="B313" s="239">
        <v>4.0</v>
      </c>
      <c r="C313" s="227" t="s">
        <v>319</v>
      </c>
      <c r="D313" s="199"/>
      <c r="E313" s="199"/>
      <c r="F313" s="199"/>
      <c r="G313" s="199"/>
      <c r="H313" s="199"/>
      <c r="I313" s="199"/>
      <c r="J313" s="200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</row>
    <row r="314">
      <c r="A314" s="201"/>
      <c r="B314" s="202"/>
      <c r="C314" s="249" t="s">
        <v>24</v>
      </c>
      <c r="D314" s="204">
        <v>1000.0</v>
      </c>
      <c r="E314" s="205" t="s">
        <v>14</v>
      </c>
      <c r="F314" s="204">
        <v>192.0</v>
      </c>
      <c r="G314" s="204">
        <f t="shared" ref="G314:G319" si="65">IFERROR(F314/D314,0)</f>
        <v>0.192</v>
      </c>
      <c r="H314" s="204">
        <v>200.0</v>
      </c>
      <c r="I314" s="204">
        <f>IFERROR(G314*H314,0)</f>
        <v>38.4</v>
      </c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</row>
    <row r="315">
      <c r="A315" s="206"/>
      <c r="B315" s="207"/>
      <c r="C315" s="211" t="s">
        <v>320</v>
      </c>
      <c r="D315" s="212">
        <v>1000.0</v>
      </c>
      <c r="E315" s="213" t="s">
        <v>14</v>
      </c>
      <c r="F315" s="212">
        <v>130.0</v>
      </c>
      <c r="G315" s="204">
        <f t="shared" si="65"/>
        <v>0.13</v>
      </c>
      <c r="H315" s="212">
        <v>80.0</v>
      </c>
      <c r="I315" s="204">
        <f t="shared" ref="I315:I318" si="66">IFERROR(H315/F315,0)</f>
        <v>0.6153846154</v>
      </c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</row>
    <row r="316">
      <c r="A316" s="201"/>
      <c r="B316" s="202"/>
      <c r="C316" s="249" t="s">
        <v>321</v>
      </c>
      <c r="D316" s="225">
        <v>1000.0</v>
      </c>
      <c r="E316" s="244" t="s">
        <v>14</v>
      </c>
      <c r="F316" s="225">
        <v>80.0</v>
      </c>
      <c r="G316" s="204">
        <f t="shared" si="65"/>
        <v>0.08</v>
      </c>
      <c r="H316" s="225">
        <v>40.0</v>
      </c>
      <c r="I316" s="204">
        <f t="shared" si="66"/>
        <v>0.5</v>
      </c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</row>
    <row r="317">
      <c r="A317" s="206"/>
      <c r="B317" s="252"/>
      <c r="C317" s="249" t="s">
        <v>322</v>
      </c>
      <c r="D317" s="212">
        <v>1000.0</v>
      </c>
      <c r="E317" s="213" t="s">
        <v>14</v>
      </c>
      <c r="F317" s="212">
        <v>240.0</v>
      </c>
      <c r="G317" s="204">
        <f t="shared" si="65"/>
        <v>0.24</v>
      </c>
      <c r="H317" s="212">
        <v>40.0</v>
      </c>
      <c r="I317" s="204">
        <f t="shared" si="66"/>
        <v>0.1666666667</v>
      </c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</row>
    <row r="318">
      <c r="A318" s="201"/>
      <c r="B318" s="252"/>
      <c r="C318" s="249" t="s">
        <v>323</v>
      </c>
      <c r="D318" s="225">
        <v>50.0</v>
      </c>
      <c r="E318" s="244" t="s">
        <v>14</v>
      </c>
      <c r="F318" s="225">
        <v>75.0</v>
      </c>
      <c r="G318" s="204">
        <f t="shared" si="65"/>
        <v>1.5</v>
      </c>
      <c r="H318" s="225">
        <v>5.0</v>
      </c>
      <c r="I318" s="204">
        <f t="shared" si="66"/>
        <v>0.06666666667</v>
      </c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</row>
    <row r="319">
      <c r="A319" s="247"/>
      <c r="B319" s="248" t="s">
        <v>306</v>
      </c>
      <c r="C319" s="203" t="s">
        <v>183</v>
      </c>
      <c r="D319" s="225">
        <v>1500.0</v>
      </c>
      <c r="E319" s="244" t="s">
        <v>14</v>
      </c>
      <c r="F319" s="225">
        <v>175.84</v>
      </c>
      <c r="G319" s="204">
        <f t="shared" si="65"/>
        <v>0.1172266667</v>
      </c>
      <c r="H319" s="225">
        <v>80.0</v>
      </c>
      <c r="I319" s="204">
        <f>IFERROR(G319*H319,0)</f>
        <v>9.378133333</v>
      </c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</row>
    <row r="320">
      <c r="A320" s="247"/>
      <c r="B320" s="248" t="s">
        <v>324</v>
      </c>
      <c r="C320" s="249" t="s">
        <v>325</v>
      </c>
      <c r="D320" s="204"/>
      <c r="E320" s="205"/>
      <c r="F320" s="204"/>
      <c r="G320" s="204"/>
      <c r="H320" s="204"/>
      <c r="I320" s="204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</row>
    <row r="321">
      <c r="A321" s="214"/>
      <c r="B321" s="215"/>
      <c r="C321" s="216" t="s">
        <v>225</v>
      </c>
      <c r="D321" s="217"/>
      <c r="E321" s="217"/>
      <c r="F321" s="217"/>
      <c r="G321" s="217"/>
      <c r="H321" s="218"/>
      <c r="I321" s="219">
        <f>SUM(I314:I320)*1.3</f>
        <v>63.86490667</v>
      </c>
      <c r="J321" s="214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</row>
    <row r="322">
      <c r="A322" s="220"/>
      <c r="B322" s="221"/>
      <c r="C322" s="222" t="s">
        <v>326</v>
      </c>
      <c r="D322" s="217"/>
      <c r="E322" s="217"/>
      <c r="F322" s="217"/>
      <c r="G322" s="217"/>
      <c r="H322" s="218"/>
      <c r="I322" s="226">
        <v>690.0</v>
      </c>
      <c r="J322" s="224">
        <f>I321/I322</f>
        <v>0.09255783575</v>
      </c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</row>
    <row r="323" ht="15.75" customHeight="1">
      <c r="A323" s="196"/>
      <c r="B323" s="239">
        <v>5.0</v>
      </c>
      <c r="C323" s="227" t="s">
        <v>327</v>
      </c>
      <c r="D323" s="199"/>
      <c r="E323" s="199"/>
      <c r="F323" s="199"/>
      <c r="G323" s="199"/>
      <c r="H323" s="199"/>
      <c r="I323" s="199"/>
      <c r="J323" s="200"/>
      <c r="K323" s="243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</row>
    <row r="324">
      <c r="A324" s="201"/>
      <c r="B324" s="202"/>
      <c r="C324" s="203" t="s">
        <v>12</v>
      </c>
      <c r="D324" s="204">
        <v>1000.0</v>
      </c>
      <c r="E324" s="205" t="s">
        <v>14</v>
      </c>
      <c r="F324" s="225">
        <v>1900.0</v>
      </c>
      <c r="G324" s="204">
        <f t="shared" ref="G324:G339" si="67">IFERROR(F324/D324,0)</f>
        <v>1.9</v>
      </c>
      <c r="H324" s="225">
        <v>100.0</v>
      </c>
      <c r="I324" s="204">
        <f t="shared" ref="I324:I339" si="68">IFERROR(G324*H324,0)</f>
        <v>190</v>
      </c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</row>
    <row r="325">
      <c r="A325" s="206"/>
      <c r="B325" s="207"/>
      <c r="C325" s="208" t="s">
        <v>43</v>
      </c>
      <c r="D325" s="209">
        <v>1000.0</v>
      </c>
      <c r="E325" s="210" t="s">
        <v>14</v>
      </c>
      <c r="F325" s="209">
        <v>87.0</v>
      </c>
      <c r="G325" s="209">
        <f t="shared" si="67"/>
        <v>0.087</v>
      </c>
      <c r="H325" s="209">
        <v>18.0</v>
      </c>
      <c r="I325" s="209">
        <f t="shared" si="68"/>
        <v>1.566</v>
      </c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</row>
    <row r="326">
      <c r="A326" s="201"/>
      <c r="B326" s="202"/>
      <c r="C326" s="203" t="s">
        <v>59</v>
      </c>
      <c r="D326" s="204">
        <v>1000.0</v>
      </c>
      <c r="E326" s="205" t="s">
        <v>14</v>
      </c>
      <c r="F326" s="204">
        <v>100.0</v>
      </c>
      <c r="G326" s="204">
        <f t="shared" si="67"/>
        <v>0.1</v>
      </c>
      <c r="H326" s="204">
        <v>7.0</v>
      </c>
      <c r="I326" s="204">
        <f t="shared" si="68"/>
        <v>0.7</v>
      </c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</row>
    <row r="327">
      <c r="A327" s="206"/>
      <c r="B327" s="207"/>
      <c r="C327" s="208" t="s">
        <v>46</v>
      </c>
      <c r="D327" s="209">
        <v>1000.0</v>
      </c>
      <c r="E327" s="210" t="s">
        <v>14</v>
      </c>
      <c r="F327" s="209">
        <v>100.0</v>
      </c>
      <c r="G327" s="209">
        <f t="shared" si="67"/>
        <v>0.1</v>
      </c>
      <c r="H327" s="209">
        <v>7.0</v>
      </c>
      <c r="I327" s="209">
        <f t="shared" si="68"/>
        <v>0.7</v>
      </c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</row>
    <row r="328">
      <c r="A328" s="201"/>
      <c r="B328" s="202"/>
      <c r="C328" s="203" t="s">
        <v>240</v>
      </c>
      <c r="D328" s="204">
        <v>1000.0</v>
      </c>
      <c r="E328" s="205" t="s">
        <v>14</v>
      </c>
      <c r="F328" s="204">
        <v>130.0</v>
      </c>
      <c r="G328" s="204">
        <f t="shared" si="67"/>
        <v>0.13</v>
      </c>
      <c r="H328" s="204">
        <v>40.0</v>
      </c>
      <c r="I328" s="204">
        <f t="shared" si="68"/>
        <v>5.2</v>
      </c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</row>
    <row r="329">
      <c r="A329" s="247"/>
      <c r="B329" s="252"/>
      <c r="C329" s="249" t="s">
        <v>322</v>
      </c>
      <c r="D329" s="225">
        <v>1000.0</v>
      </c>
      <c r="E329" s="244" t="s">
        <v>14</v>
      </c>
      <c r="F329" s="225">
        <v>240.0</v>
      </c>
      <c r="G329" s="204">
        <f t="shared" si="67"/>
        <v>0.24</v>
      </c>
      <c r="H329" s="225">
        <v>30.0</v>
      </c>
      <c r="I329" s="204">
        <f t="shared" si="68"/>
        <v>7.2</v>
      </c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</row>
    <row r="330">
      <c r="A330" s="247"/>
      <c r="B330" s="252"/>
      <c r="C330" s="249" t="s">
        <v>58</v>
      </c>
      <c r="D330" s="225">
        <v>1000.0</v>
      </c>
      <c r="E330" s="244" t="s">
        <v>14</v>
      </c>
      <c r="F330" s="225">
        <v>29.0</v>
      </c>
      <c r="G330" s="204">
        <f t="shared" si="67"/>
        <v>0.029</v>
      </c>
      <c r="H330" s="225">
        <v>80.0</v>
      </c>
      <c r="I330" s="204">
        <f t="shared" si="68"/>
        <v>2.32</v>
      </c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</row>
    <row r="331">
      <c r="A331" s="247"/>
      <c r="B331" s="252"/>
      <c r="C331" s="249" t="s">
        <v>81</v>
      </c>
      <c r="D331" s="225">
        <v>1000.0</v>
      </c>
      <c r="E331" s="244" t="s">
        <v>14</v>
      </c>
      <c r="F331" s="225">
        <v>15.0</v>
      </c>
      <c r="G331" s="204">
        <f t="shared" si="67"/>
        <v>0.015</v>
      </c>
      <c r="H331" s="225">
        <v>0.1</v>
      </c>
      <c r="I331" s="204">
        <f t="shared" si="68"/>
        <v>0.0015</v>
      </c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</row>
    <row r="332">
      <c r="A332" s="247"/>
      <c r="B332" s="252"/>
      <c r="C332" s="249" t="s">
        <v>321</v>
      </c>
      <c r="D332" s="225">
        <v>1000.0</v>
      </c>
      <c r="E332" s="244" t="s">
        <v>14</v>
      </c>
      <c r="F332" s="225">
        <v>80.0</v>
      </c>
      <c r="G332" s="204">
        <f t="shared" si="67"/>
        <v>0.08</v>
      </c>
      <c r="H332" s="225">
        <v>20.0</v>
      </c>
      <c r="I332" s="204">
        <f t="shared" si="68"/>
        <v>1.6</v>
      </c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</row>
    <row r="333">
      <c r="A333" s="247"/>
      <c r="B333" s="248" t="s">
        <v>305</v>
      </c>
      <c r="C333" s="249" t="s">
        <v>92</v>
      </c>
      <c r="D333" s="225">
        <v>5000.0</v>
      </c>
      <c r="E333" s="244" t="s">
        <v>14</v>
      </c>
      <c r="F333" s="225">
        <v>289.0</v>
      </c>
      <c r="G333" s="204">
        <f t="shared" si="67"/>
        <v>0.0578</v>
      </c>
      <c r="H333" s="225">
        <v>200.0</v>
      </c>
      <c r="I333" s="204">
        <f t="shared" si="68"/>
        <v>11.56</v>
      </c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</row>
    <row r="334">
      <c r="A334" s="247"/>
      <c r="B334" s="248" t="s">
        <v>306</v>
      </c>
      <c r="C334" s="203" t="s">
        <v>183</v>
      </c>
      <c r="D334" s="225">
        <v>1500.0</v>
      </c>
      <c r="E334" s="244" t="s">
        <v>14</v>
      </c>
      <c r="F334" s="225">
        <v>175.84</v>
      </c>
      <c r="G334" s="204">
        <f t="shared" si="67"/>
        <v>0.1172266667</v>
      </c>
      <c r="H334" s="225">
        <v>80.0</v>
      </c>
      <c r="I334" s="204">
        <f t="shared" si="68"/>
        <v>9.378133333</v>
      </c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</row>
    <row r="335">
      <c r="A335" s="247"/>
      <c r="B335" s="248" t="s">
        <v>307</v>
      </c>
      <c r="C335" s="211" t="s">
        <v>52</v>
      </c>
      <c r="D335" s="225">
        <v>1000.0</v>
      </c>
      <c r="E335" s="244" t="s">
        <v>14</v>
      </c>
      <c r="F335" s="225">
        <v>100.0</v>
      </c>
      <c r="G335" s="204">
        <f t="shared" si="67"/>
        <v>0.1</v>
      </c>
      <c r="H335" s="225">
        <v>20.0</v>
      </c>
      <c r="I335" s="204">
        <f t="shared" si="68"/>
        <v>2</v>
      </c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</row>
    <row r="336">
      <c r="A336" s="247"/>
      <c r="B336" s="248" t="s">
        <v>307</v>
      </c>
      <c r="C336" s="249" t="s">
        <v>328</v>
      </c>
      <c r="D336" s="225">
        <v>500.0</v>
      </c>
      <c r="E336" s="244" t="s">
        <v>14</v>
      </c>
      <c r="F336" s="225">
        <v>110.7</v>
      </c>
      <c r="G336" s="204">
        <f t="shared" si="67"/>
        <v>0.2214</v>
      </c>
      <c r="H336" s="225">
        <v>30.0</v>
      </c>
      <c r="I336" s="204">
        <f t="shared" si="68"/>
        <v>6.642</v>
      </c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</row>
    <row r="337">
      <c r="A337" s="247"/>
      <c r="B337" s="248" t="s">
        <v>307</v>
      </c>
      <c r="C337" s="211" t="s">
        <v>312</v>
      </c>
      <c r="D337" s="225">
        <v>500.0</v>
      </c>
      <c r="E337" s="244" t="s">
        <v>14</v>
      </c>
      <c r="F337" s="225">
        <v>53.47</v>
      </c>
      <c r="G337" s="204">
        <f t="shared" si="67"/>
        <v>0.10694</v>
      </c>
      <c r="H337" s="225">
        <v>20.0</v>
      </c>
      <c r="I337" s="204">
        <f t="shared" si="68"/>
        <v>2.1388</v>
      </c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</row>
    <row r="338">
      <c r="A338" s="247"/>
      <c r="B338" s="248" t="s">
        <v>307</v>
      </c>
      <c r="C338" s="211" t="s">
        <v>329</v>
      </c>
      <c r="D338" s="225">
        <v>650.0</v>
      </c>
      <c r="E338" s="244" t="s">
        <v>330</v>
      </c>
      <c r="F338" s="225">
        <v>165.0</v>
      </c>
      <c r="G338" s="204">
        <f t="shared" si="67"/>
        <v>0.2538461538</v>
      </c>
      <c r="H338" s="225">
        <v>8.0</v>
      </c>
      <c r="I338" s="204">
        <f t="shared" si="68"/>
        <v>2.030769231</v>
      </c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</row>
    <row r="339">
      <c r="A339" s="247"/>
      <c r="B339" s="248" t="s">
        <v>307</v>
      </c>
      <c r="C339" s="249" t="s">
        <v>313</v>
      </c>
      <c r="D339" s="225">
        <v>1000.0</v>
      </c>
      <c r="E339" s="244" t="s">
        <v>14</v>
      </c>
      <c r="F339" s="225">
        <v>135.87</v>
      </c>
      <c r="G339" s="204">
        <f t="shared" si="67"/>
        <v>0.13587</v>
      </c>
      <c r="H339" s="225">
        <v>30.0</v>
      </c>
      <c r="I339" s="204">
        <f t="shared" si="68"/>
        <v>4.0761</v>
      </c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</row>
    <row r="340">
      <c r="A340" s="247"/>
      <c r="B340" s="248" t="s">
        <v>324</v>
      </c>
      <c r="C340" s="249" t="s">
        <v>325</v>
      </c>
      <c r="D340" s="204"/>
      <c r="E340" s="205"/>
      <c r="F340" s="204"/>
      <c r="G340" s="204"/>
      <c r="H340" s="204"/>
      <c r="I340" s="204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</row>
    <row r="341">
      <c r="A341" s="214"/>
      <c r="B341" s="215"/>
      <c r="C341" s="216" t="s">
        <v>225</v>
      </c>
      <c r="D341" s="217"/>
      <c r="E341" s="217"/>
      <c r="F341" s="217"/>
      <c r="G341" s="217"/>
      <c r="H341" s="218"/>
      <c r="I341" s="219">
        <f>SUM(I324:I340)*1.3</f>
        <v>321.2472933</v>
      </c>
      <c r="J341" s="214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</row>
    <row r="342">
      <c r="A342" s="220"/>
      <c r="B342" s="221"/>
      <c r="C342" s="222" t="s">
        <v>331</v>
      </c>
      <c r="D342" s="217"/>
      <c r="E342" s="217"/>
      <c r="F342" s="217"/>
      <c r="G342" s="217"/>
      <c r="H342" s="218"/>
      <c r="I342" s="226">
        <v>790.0</v>
      </c>
      <c r="J342" s="224">
        <f>I341/I342</f>
        <v>0.4066421435</v>
      </c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</row>
    <row r="343">
      <c r="A343" s="196"/>
      <c r="B343" s="239">
        <v>6.0</v>
      </c>
      <c r="C343" s="227" t="s">
        <v>332</v>
      </c>
      <c r="D343" s="199"/>
      <c r="E343" s="199"/>
      <c r="F343" s="199"/>
      <c r="G343" s="199"/>
      <c r="H343" s="199"/>
      <c r="I343" s="199"/>
      <c r="J343" s="200"/>
      <c r="K343" s="243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</row>
    <row r="344">
      <c r="A344" s="201"/>
      <c r="B344" s="202"/>
      <c r="C344" s="249" t="s">
        <v>333</v>
      </c>
      <c r="D344" s="204">
        <v>1000.0</v>
      </c>
      <c r="E344" s="205" t="s">
        <v>14</v>
      </c>
      <c r="F344" s="225">
        <v>220.0</v>
      </c>
      <c r="G344" s="204">
        <f t="shared" ref="G344:G355" si="69">IFERROR(F344/D344,0)</f>
        <v>0.22</v>
      </c>
      <c r="H344" s="204">
        <v>150.0</v>
      </c>
      <c r="I344" s="204">
        <f t="shared" ref="I344:I355" si="70">IFERROR(G344*H344,0)</f>
        <v>33</v>
      </c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</row>
    <row r="345">
      <c r="A345" s="206"/>
      <c r="B345" s="207"/>
      <c r="C345" s="208" t="s">
        <v>41</v>
      </c>
      <c r="D345" s="209">
        <v>200.0</v>
      </c>
      <c r="E345" s="210" t="s">
        <v>14</v>
      </c>
      <c r="F345" s="209">
        <v>15.0</v>
      </c>
      <c r="G345" s="209">
        <f t="shared" si="69"/>
        <v>0.075</v>
      </c>
      <c r="H345" s="209">
        <v>10.0</v>
      </c>
      <c r="I345" s="209">
        <f t="shared" si="70"/>
        <v>0.75</v>
      </c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</row>
    <row r="346">
      <c r="A346" s="201"/>
      <c r="B346" s="202"/>
      <c r="C346" s="203" t="s">
        <v>59</v>
      </c>
      <c r="D346" s="204">
        <v>1000.0</v>
      </c>
      <c r="E346" s="205" t="s">
        <v>14</v>
      </c>
      <c r="F346" s="204">
        <v>100.0</v>
      </c>
      <c r="G346" s="204">
        <f t="shared" si="69"/>
        <v>0.1</v>
      </c>
      <c r="H346" s="204">
        <v>3.0</v>
      </c>
      <c r="I346" s="204">
        <f t="shared" si="70"/>
        <v>0.3</v>
      </c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</row>
    <row r="347">
      <c r="A347" s="206"/>
      <c r="B347" s="207"/>
      <c r="C347" s="208" t="s">
        <v>46</v>
      </c>
      <c r="D347" s="209">
        <v>1000.0</v>
      </c>
      <c r="E347" s="210" t="s">
        <v>14</v>
      </c>
      <c r="F347" s="209">
        <v>100.0</v>
      </c>
      <c r="G347" s="209">
        <f t="shared" si="69"/>
        <v>0.1</v>
      </c>
      <c r="H347" s="209">
        <v>3.0</v>
      </c>
      <c r="I347" s="209">
        <f t="shared" si="70"/>
        <v>0.3</v>
      </c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</row>
    <row r="348">
      <c r="A348" s="201"/>
      <c r="B348" s="202"/>
      <c r="C348" s="203" t="s">
        <v>68</v>
      </c>
      <c r="D348" s="204">
        <v>600.0</v>
      </c>
      <c r="E348" s="205" t="s">
        <v>14</v>
      </c>
      <c r="F348" s="204">
        <v>186.5</v>
      </c>
      <c r="G348" s="204">
        <f t="shared" si="69"/>
        <v>0.3108333333</v>
      </c>
      <c r="H348" s="204">
        <v>100.0</v>
      </c>
      <c r="I348" s="204">
        <f t="shared" si="70"/>
        <v>31.08333333</v>
      </c>
      <c r="J348" s="253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</row>
    <row r="349">
      <c r="A349" s="206"/>
      <c r="B349" s="207"/>
      <c r="C349" s="211" t="s">
        <v>321</v>
      </c>
      <c r="D349" s="209">
        <v>1000.0</v>
      </c>
      <c r="E349" s="210" t="s">
        <v>14</v>
      </c>
      <c r="F349" s="209">
        <v>90.0</v>
      </c>
      <c r="G349" s="209">
        <f t="shared" si="69"/>
        <v>0.09</v>
      </c>
      <c r="H349" s="209">
        <v>10.0</v>
      </c>
      <c r="I349" s="209">
        <f t="shared" si="70"/>
        <v>0.9</v>
      </c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</row>
    <row r="350">
      <c r="A350" s="206"/>
      <c r="B350" s="207"/>
      <c r="C350" s="211" t="s">
        <v>334</v>
      </c>
      <c r="D350" s="212">
        <v>1000.0</v>
      </c>
      <c r="E350" s="213" t="s">
        <v>14</v>
      </c>
      <c r="F350" s="212">
        <v>240.0</v>
      </c>
      <c r="G350" s="209">
        <f t="shared" si="69"/>
        <v>0.24</v>
      </c>
      <c r="H350" s="212">
        <v>30.0</v>
      </c>
      <c r="I350" s="209">
        <f t="shared" si="70"/>
        <v>7.2</v>
      </c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</row>
    <row r="351">
      <c r="A351" s="201"/>
      <c r="B351" s="202"/>
      <c r="C351" s="203" t="s">
        <v>58</v>
      </c>
      <c r="D351" s="204">
        <v>1000.0</v>
      </c>
      <c r="E351" s="205" t="s">
        <v>14</v>
      </c>
      <c r="F351" s="204">
        <v>29.0</v>
      </c>
      <c r="G351" s="204">
        <f t="shared" si="69"/>
        <v>0.029</v>
      </c>
      <c r="H351" s="225">
        <v>80.0</v>
      </c>
      <c r="I351" s="204">
        <f t="shared" si="70"/>
        <v>2.32</v>
      </c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</row>
    <row r="352">
      <c r="A352" s="247"/>
      <c r="B352" s="248" t="s">
        <v>305</v>
      </c>
      <c r="C352" s="249" t="s">
        <v>92</v>
      </c>
      <c r="D352" s="225">
        <v>5000.0</v>
      </c>
      <c r="E352" s="244" t="s">
        <v>14</v>
      </c>
      <c r="F352" s="225">
        <v>289.0</v>
      </c>
      <c r="G352" s="204">
        <f t="shared" si="69"/>
        <v>0.0578</v>
      </c>
      <c r="H352" s="225">
        <v>200.0</v>
      </c>
      <c r="I352" s="204">
        <f t="shared" si="70"/>
        <v>11.56</v>
      </c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</row>
    <row r="353">
      <c r="A353" s="247"/>
      <c r="B353" s="248" t="s">
        <v>306</v>
      </c>
      <c r="C353" s="203" t="s">
        <v>183</v>
      </c>
      <c r="D353" s="225">
        <v>1500.0</v>
      </c>
      <c r="E353" s="244" t="s">
        <v>14</v>
      </c>
      <c r="F353" s="225">
        <v>175.84</v>
      </c>
      <c r="G353" s="204">
        <f t="shared" si="69"/>
        <v>0.1172266667</v>
      </c>
      <c r="H353" s="225">
        <v>80.0</v>
      </c>
      <c r="I353" s="204">
        <f t="shared" si="70"/>
        <v>9.378133333</v>
      </c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</row>
    <row r="354">
      <c r="A354" s="247"/>
      <c r="B354" s="248" t="s">
        <v>307</v>
      </c>
      <c r="C354" s="249" t="s">
        <v>52</v>
      </c>
      <c r="D354" s="225">
        <v>1000.0</v>
      </c>
      <c r="E354" s="244" t="s">
        <v>14</v>
      </c>
      <c r="F354" s="225">
        <v>100.0</v>
      </c>
      <c r="G354" s="204">
        <f t="shared" si="69"/>
        <v>0.1</v>
      </c>
      <c r="H354" s="225">
        <v>20.0</v>
      </c>
      <c r="I354" s="209">
        <f t="shared" si="70"/>
        <v>2</v>
      </c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</row>
    <row r="355">
      <c r="A355" s="247"/>
      <c r="B355" s="248" t="s">
        <v>307</v>
      </c>
      <c r="C355" s="249" t="s">
        <v>313</v>
      </c>
      <c r="D355" s="225">
        <v>1000.0</v>
      </c>
      <c r="E355" s="244" t="s">
        <v>14</v>
      </c>
      <c r="F355" s="225">
        <v>135.87</v>
      </c>
      <c r="G355" s="204">
        <f t="shared" si="69"/>
        <v>0.13587</v>
      </c>
      <c r="H355" s="225">
        <v>30.0</v>
      </c>
      <c r="I355" s="204">
        <f t="shared" si="70"/>
        <v>4.0761</v>
      </c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</row>
    <row r="356">
      <c r="A356" s="214"/>
      <c r="B356" s="215"/>
      <c r="C356" s="216" t="s">
        <v>225</v>
      </c>
      <c r="D356" s="217"/>
      <c r="E356" s="217"/>
      <c r="F356" s="217"/>
      <c r="G356" s="217"/>
      <c r="H356" s="218"/>
      <c r="I356" s="219">
        <f>SUM(I344:I355)*1.3</f>
        <v>133.7278367</v>
      </c>
      <c r="J356" s="214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</row>
    <row r="357">
      <c r="A357" s="220"/>
      <c r="B357" s="221"/>
      <c r="C357" s="222" t="s">
        <v>335</v>
      </c>
      <c r="D357" s="217"/>
      <c r="E357" s="217"/>
      <c r="F357" s="217"/>
      <c r="G357" s="217"/>
      <c r="H357" s="218"/>
      <c r="I357" s="226">
        <v>360.0</v>
      </c>
      <c r="J357" s="224">
        <f>I356/I357</f>
        <v>0.371466213</v>
      </c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</row>
    <row r="358">
      <c r="A358" s="196"/>
      <c r="B358" s="239">
        <v>7.0</v>
      </c>
      <c r="C358" s="227" t="s">
        <v>336</v>
      </c>
      <c r="D358" s="199"/>
      <c r="E358" s="199"/>
      <c r="F358" s="199"/>
      <c r="G358" s="199"/>
      <c r="H358" s="199"/>
      <c r="I358" s="199"/>
      <c r="J358" s="200"/>
      <c r="K358" s="243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</row>
    <row r="359">
      <c r="A359" s="201"/>
      <c r="B359" s="202"/>
      <c r="C359" s="254" t="s">
        <v>337</v>
      </c>
      <c r="D359" s="204">
        <v>1000.0</v>
      </c>
      <c r="E359" s="205" t="s">
        <v>14</v>
      </c>
      <c r="F359" s="204">
        <v>450.0</v>
      </c>
      <c r="G359" s="204">
        <f t="shared" ref="G359:G370" si="71">IFERROR(F359/D359,0)</f>
        <v>0.45</v>
      </c>
      <c r="H359" s="225">
        <v>120.0</v>
      </c>
      <c r="I359" s="204">
        <f t="shared" ref="I359:I370" si="72">IFERROR(G359*H359,0)</f>
        <v>54</v>
      </c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</row>
    <row r="360">
      <c r="A360" s="206"/>
      <c r="B360" s="207"/>
      <c r="C360" s="208" t="s">
        <v>41</v>
      </c>
      <c r="D360" s="209">
        <v>200.0</v>
      </c>
      <c r="E360" s="210" t="s">
        <v>14</v>
      </c>
      <c r="F360" s="209">
        <v>15.0</v>
      </c>
      <c r="G360" s="209">
        <f t="shared" si="71"/>
        <v>0.075</v>
      </c>
      <c r="H360" s="209">
        <v>10.0</v>
      </c>
      <c r="I360" s="209">
        <f t="shared" si="72"/>
        <v>0.75</v>
      </c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</row>
    <row r="361">
      <c r="A361" s="201"/>
      <c r="B361" s="202"/>
      <c r="C361" s="203" t="s">
        <v>59</v>
      </c>
      <c r="D361" s="204">
        <v>1000.0</v>
      </c>
      <c r="E361" s="205" t="s">
        <v>14</v>
      </c>
      <c r="F361" s="204">
        <v>100.0</v>
      </c>
      <c r="G361" s="204">
        <f t="shared" si="71"/>
        <v>0.1</v>
      </c>
      <c r="H361" s="204">
        <v>3.0</v>
      </c>
      <c r="I361" s="204">
        <f t="shared" si="72"/>
        <v>0.3</v>
      </c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</row>
    <row r="362">
      <c r="A362" s="206"/>
      <c r="B362" s="207"/>
      <c r="C362" s="208" t="s">
        <v>46</v>
      </c>
      <c r="D362" s="209">
        <v>1000.0</v>
      </c>
      <c r="E362" s="210" t="s">
        <v>14</v>
      </c>
      <c r="F362" s="209">
        <v>100.0</v>
      </c>
      <c r="G362" s="209">
        <f t="shared" si="71"/>
        <v>0.1</v>
      </c>
      <c r="H362" s="209">
        <v>3.0</v>
      </c>
      <c r="I362" s="209">
        <f t="shared" si="72"/>
        <v>0.3</v>
      </c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</row>
    <row r="363">
      <c r="A363" s="201"/>
      <c r="B363" s="202"/>
      <c r="C363" s="203" t="s">
        <v>68</v>
      </c>
      <c r="D363" s="204">
        <v>600.0</v>
      </c>
      <c r="E363" s="205" t="s">
        <v>14</v>
      </c>
      <c r="F363" s="204">
        <v>186.5</v>
      </c>
      <c r="G363" s="204">
        <f t="shared" si="71"/>
        <v>0.3108333333</v>
      </c>
      <c r="H363" s="204">
        <v>100.0</v>
      </c>
      <c r="I363" s="204">
        <f t="shared" si="72"/>
        <v>31.08333333</v>
      </c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</row>
    <row r="364">
      <c r="A364" s="206"/>
      <c r="B364" s="207"/>
      <c r="C364" s="211" t="s">
        <v>321</v>
      </c>
      <c r="D364" s="209">
        <v>1000.0</v>
      </c>
      <c r="E364" s="210" t="s">
        <v>14</v>
      </c>
      <c r="F364" s="212">
        <v>80.0</v>
      </c>
      <c r="G364" s="209">
        <f t="shared" si="71"/>
        <v>0.08</v>
      </c>
      <c r="H364" s="209">
        <v>10.0</v>
      </c>
      <c r="I364" s="209">
        <f t="shared" si="72"/>
        <v>0.8</v>
      </c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</row>
    <row r="365">
      <c r="A365" s="206"/>
      <c r="B365" s="207"/>
      <c r="C365" s="211" t="s">
        <v>322</v>
      </c>
      <c r="D365" s="212">
        <v>1000.0</v>
      </c>
      <c r="E365" s="213" t="s">
        <v>14</v>
      </c>
      <c r="F365" s="212">
        <v>240.0</v>
      </c>
      <c r="G365" s="209">
        <f t="shared" si="71"/>
        <v>0.24</v>
      </c>
      <c r="H365" s="212">
        <v>30.0</v>
      </c>
      <c r="I365" s="209">
        <f t="shared" si="72"/>
        <v>7.2</v>
      </c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</row>
    <row r="366">
      <c r="A366" s="201"/>
      <c r="B366" s="202"/>
      <c r="C366" s="203" t="s">
        <v>58</v>
      </c>
      <c r="D366" s="204">
        <v>1000.0</v>
      </c>
      <c r="E366" s="205" t="s">
        <v>14</v>
      </c>
      <c r="F366" s="204">
        <v>29.0</v>
      </c>
      <c r="G366" s="204">
        <f t="shared" si="71"/>
        <v>0.029</v>
      </c>
      <c r="H366" s="225">
        <v>80.0</v>
      </c>
      <c r="I366" s="204">
        <f t="shared" si="72"/>
        <v>2.32</v>
      </c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</row>
    <row r="367">
      <c r="A367" s="247"/>
      <c r="B367" s="248" t="s">
        <v>305</v>
      </c>
      <c r="C367" s="249" t="s">
        <v>92</v>
      </c>
      <c r="D367" s="225">
        <v>5000.0</v>
      </c>
      <c r="E367" s="244" t="s">
        <v>14</v>
      </c>
      <c r="F367" s="225">
        <v>289.0</v>
      </c>
      <c r="G367" s="204">
        <f t="shared" si="71"/>
        <v>0.0578</v>
      </c>
      <c r="H367" s="225">
        <v>200.0</v>
      </c>
      <c r="I367" s="209">
        <f t="shared" si="72"/>
        <v>11.56</v>
      </c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</row>
    <row r="368">
      <c r="A368" s="247"/>
      <c r="B368" s="248" t="s">
        <v>306</v>
      </c>
      <c r="C368" s="203" t="s">
        <v>183</v>
      </c>
      <c r="D368" s="225">
        <v>1500.0</v>
      </c>
      <c r="E368" s="244" t="s">
        <v>14</v>
      </c>
      <c r="F368" s="225">
        <v>175.84</v>
      </c>
      <c r="G368" s="204">
        <f t="shared" si="71"/>
        <v>0.1172266667</v>
      </c>
      <c r="H368" s="225">
        <v>80.0</v>
      </c>
      <c r="I368" s="209">
        <f t="shared" si="72"/>
        <v>9.378133333</v>
      </c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</row>
    <row r="369">
      <c r="A369" s="247"/>
      <c r="B369" s="248" t="s">
        <v>307</v>
      </c>
      <c r="C369" s="249" t="s">
        <v>338</v>
      </c>
      <c r="D369" s="225">
        <v>1000.0</v>
      </c>
      <c r="E369" s="244" t="s">
        <v>14</v>
      </c>
      <c r="F369" s="225">
        <v>135.87</v>
      </c>
      <c r="G369" s="204">
        <f t="shared" si="71"/>
        <v>0.13587</v>
      </c>
      <c r="H369" s="225">
        <v>30.0</v>
      </c>
      <c r="I369" s="209">
        <f t="shared" si="72"/>
        <v>4.0761</v>
      </c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</row>
    <row r="370">
      <c r="A370" s="247"/>
      <c r="B370" s="248" t="s">
        <v>307</v>
      </c>
      <c r="C370" s="249" t="s">
        <v>52</v>
      </c>
      <c r="D370" s="225">
        <v>1000.0</v>
      </c>
      <c r="E370" s="244" t="s">
        <v>14</v>
      </c>
      <c r="F370" s="225">
        <v>100.0</v>
      </c>
      <c r="G370" s="204">
        <f t="shared" si="71"/>
        <v>0.1</v>
      </c>
      <c r="H370" s="225">
        <v>20.0</v>
      </c>
      <c r="I370" s="209">
        <f t="shared" si="72"/>
        <v>2</v>
      </c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</row>
    <row r="371">
      <c r="A371" s="214"/>
      <c r="B371" s="215"/>
      <c r="C371" s="216" t="s">
        <v>225</v>
      </c>
      <c r="D371" s="217"/>
      <c r="E371" s="217"/>
      <c r="F371" s="217"/>
      <c r="G371" s="217"/>
      <c r="H371" s="218"/>
      <c r="I371" s="219">
        <f>SUM(I359:I370)*1.3</f>
        <v>160.8978367</v>
      </c>
      <c r="J371" s="214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</row>
    <row r="372">
      <c r="A372" s="220"/>
      <c r="B372" s="221"/>
      <c r="C372" s="222" t="s">
        <v>339</v>
      </c>
      <c r="D372" s="217"/>
      <c r="E372" s="217"/>
      <c r="F372" s="217"/>
      <c r="G372" s="217"/>
      <c r="H372" s="218"/>
      <c r="I372" s="226">
        <v>400.0</v>
      </c>
      <c r="J372" s="224">
        <f>I371/I372</f>
        <v>0.4022445917</v>
      </c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</row>
    <row r="373">
      <c r="A373" s="189"/>
      <c r="B373" s="255"/>
      <c r="C373" s="256"/>
      <c r="D373" s="256"/>
      <c r="E373" s="256"/>
      <c r="F373" s="256"/>
      <c r="G373" s="256"/>
      <c r="H373" s="256"/>
      <c r="I373" s="257"/>
      <c r="J373" s="258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</row>
    <row r="374">
      <c r="A374" s="189"/>
      <c r="B374" s="255"/>
      <c r="C374" s="256"/>
      <c r="D374" s="256"/>
      <c r="E374" s="256"/>
      <c r="F374" s="256"/>
      <c r="G374" s="256"/>
      <c r="H374" s="256"/>
      <c r="I374" s="257"/>
      <c r="J374" s="258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</row>
    <row r="375">
      <c r="A375" s="196"/>
      <c r="B375" s="239">
        <v>8.0</v>
      </c>
      <c r="C375" s="227" t="s">
        <v>340</v>
      </c>
      <c r="D375" s="199"/>
      <c r="E375" s="199"/>
      <c r="F375" s="199"/>
      <c r="G375" s="199"/>
      <c r="H375" s="199"/>
      <c r="I375" s="199"/>
      <c r="J375" s="200"/>
      <c r="K375" s="243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</row>
    <row r="376">
      <c r="A376" s="201"/>
      <c r="B376" s="202"/>
      <c r="C376" s="203" t="s">
        <v>92</v>
      </c>
      <c r="D376" s="204">
        <v>5000.0</v>
      </c>
      <c r="E376" s="205" t="s">
        <v>14</v>
      </c>
      <c r="F376" s="204">
        <v>289.0</v>
      </c>
      <c r="G376" s="204">
        <f t="shared" ref="G376:G387" si="73">IFERROR(F376/D376,0)</f>
        <v>0.0578</v>
      </c>
      <c r="H376" s="204">
        <v>200.0</v>
      </c>
      <c r="I376" s="204">
        <f t="shared" ref="I376:I387" si="74">IFERROR(G376*H376,0)</f>
        <v>11.56</v>
      </c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</row>
    <row r="377">
      <c r="A377" s="206"/>
      <c r="B377" s="207"/>
      <c r="C377" s="211" t="s">
        <v>341</v>
      </c>
      <c r="D377" s="209">
        <v>1000.0</v>
      </c>
      <c r="E377" s="210" t="s">
        <v>14</v>
      </c>
      <c r="F377" s="209">
        <v>450.0</v>
      </c>
      <c r="G377" s="209">
        <f t="shared" si="73"/>
        <v>0.45</v>
      </c>
      <c r="H377" s="209">
        <v>80.0</v>
      </c>
      <c r="I377" s="209">
        <f t="shared" si="74"/>
        <v>36</v>
      </c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</row>
    <row r="378">
      <c r="A378" s="201"/>
      <c r="B378" s="202"/>
      <c r="C378" s="203" t="s">
        <v>35</v>
      </c>
      <c r="D378" s="204">
        <v>1000.0</v>
      </c>
      <c r="E378" s="205" t="s">
        <v>14</v>
      </c>
      <c r="F378" s="204">
        <v>20.0</v>
      </c>
      <c r="G378" s="204">
        <f t="shared" si="73"/>
        <v>0.02</v>
      </c>
      <c r="H378" s="204">
        <v>20.0</v>
      </c>
      <c r="I378" s="204">
        <f t="shared" si="74"/>
        <v>0.4</v>
      </c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</row>
    <row r="379">
      <c r="A379" s="206"/>
      <c r="B379" s="207"/>
      <c r="C379" s="208" t="s">
        <v>37</v>
      </c>
      <c r="D379" s="209">
        <v>1000.0</v>
      </c>
      <c r="E379" s="210" t="s">
        <v>14</v>
      </c>
      <c r="F379" s="209">
        <v>29.0</v>
      </c>
      <c r="G379" s="209">
        <f t="shared" si="73"/>
        <v>0.029</v>
      </c>
      <c r="H379" s="209">
        <v>20.0</v>
      </c>
      <c r="I379" s="209">
        <f t="shared" si="74"/>
        <v>0.58</v>
      </c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</row>
    <row r="380">
      <c r="A380" s="201"/>
      <c r="B380" s="202"/>
      <c r="C380" s="203" t="s">
        <v>64</v>
      </c>
      <c r="D380" s="204">
        <v>1000.0</v>
      </c>
      <c r="E380" s="205" t="s">
        <v>14</v>
      </c>
      <c r="F380" s="204">
        <v>90.0</v>
      </c>
      <c r="G380" s="204">
        <f t="shared" si="73"/>
        <v>0.09</v>
      </c>
      <c r="H380" s="204">
        <v>20.0</v>
      </c>
      <c r="I380" s="204">
        <f t="shared" si="74"/>
        <v>1.8</v>
      </c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</row>
    <row r="381">
      <c r="A381" s="206"/>
      <c r="B381" s="207"/>
      <c r="C381" s="208" t="s">
        <v>62</v>
      </c>
      <c r="D381" s="209">
        <v>1000.0</v>
      </c>
      <c r="E381" s="210" t="s">
        <v>14</v>
      </c>
      <c r="F381" s="209">
        <v>90.0</v>
      </c>
      <c r="G381" s="209">
        <f t="shared" si="73"/>
        <v>0.09</v>
      </c>
      <c r="H381" s="209">
        <v>20.0</v>
      </c>
      <c r="I381" s="209">
        <f t="shared" si="74"/>
        <v>1.8</v>
      </c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</row>
    <row r="382">
      <c r="A382" s="201"/>
      <c r="B382" s="202"/>
      <c r="C382" s="203" t="s">
        <v>89</v>
      </c>
      <c r="D382" s="204">
        <v>50.0</v>
      </c>
      <c r="E382" s="205" t="s">
        <v>14</v>
      </c>
      <c r="F382" s="204">
        <v>85.0</v>
      </c>
      <c r="G382" s="204">
        <f t="shared" si="73"/>
        <v>1.7</v>
      </c>
      <c r="H382" s="204">
        <v>20.0</v>
      </c>
      <c r="I382" s="204">
        <f t="shared" si="74"/>
        <v>34</v>
      </c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</row>
    <row r="383">
      <c r="A383" s="206"/>
      <c r="B383" s="207"/>
      <c r="C383" s="208" t="s">
        <v>17</v>
      </c>
      <c r="D383" s="209">
        <v>90.0</v>
      </c>
      <c r="E383" s="210" t="s">
        <v>18</v>
      </c>
      <c r="F383" s="209">
        <v>357.0</v>
      </c>
      <c r="G383" s="209">
        <f t="shared" si="73"/>
        <v>3.966666667</v>
      </c>
      <c r="H383" s="212">
        <v>1.0</v>
      </c>
      <c r="I383" s="209">
        <f t="shared" si="74"/>
        <v>3.966666667</v>
      </c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</row>
    <row r="384">
      <c r="A384" s="247"/>
      <c r="B384" s="252"/>
      <c r="C384" s="249" t="s">
        <v>342</v>
      </c>
      <c r="D384" s="225">
        <v>1000.0</v>
      </c>
      <c r="E384" s="244" t="s">
        <v>14</v>
      </c>
      <c r="F384" s="225">
        <v>250.0</v>
      </c>
      <c r="G384" s="209">
        <f t="shared" si="73"/>
        <v>0.25</v>
      </c>
      <c r="H384" s="225">
        <v>20.0</v>
      </c>
      <c r="I384" s="209">
        <f t="shared" si="74"/>
        <v>5</v>
      </c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</row>
    <row r="385">
      <c r="A385" s="247"/>
      <c r="B385" s="248" t="s">
        <v>306</v>
      </c>
      <c r="C385" s="203" t="s">
        <v>183</v>
      </c>
      <c r="D385" s="225">
        <v>1500.0</v>
      </c>
      <c r="E385" s="244" t="s">
        <v>14</v>
      </c>
      <c r="F385" s="225">
        <v>175.84</v>
      </c>
      <c r="G385" s="209">
        <f t="shared" si="73"/>
        <v>0.1172266667</v>
      </c>
      <c r="H385" s="225">
        <v>80.0</v>
      </c>
      <c r="I385" s="209">
        <f t="shared" si="74"/>
        <v>9.378133333</v>
      </c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</row>
    <row r="386">
      <c r="A386" s="259"/>
      <c r="B386" s="260" t="s">
        <v>307</v>
      </c>
      <c r="C386" s="211" t="s">
        <v>343</v>
      </c>
      <c r="D386" s="212">
        <v>1000.0</v>
      </c>
      <c r="E386" s="213" t="s">
        <v>14</v>
      </c>
      <c r="F386" s="212">
        <v>100.0</v>
      </c>
      <c r="G386" s="209">
        <f t="shared" si="73"/>
        <v>0.1</v>
      </c>
      <c r="H386" s="212">
        <v>20.0</v>
      </c>
      <c r="I386" s="209">
        <f t="shared" si="74"/>
        <v>2</v>
      </c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</row>
    <row r="387">
      <c r="A387" s="259"/>
      <c r="B387" s="260" t="s">
        <v>307</v>
      </c>
      <c r="C387" s="211" t="s">
        <v>344</v>
      </c>
      <c r="D387" s="212">
        <v>1500.0</v>
      </c>
      <c r="E387" s="213" t="s">
        <v>14</v>
      </c>
      <c r="F387" s="212">
        <v>687.59</v>
      </c>
      <c r="G387" s="209">
        <f t="shared" si="73"/>
        <v>0.4583933333</v>
      </c>
      <c r="H387" s="212">
        <v>20.0</v>
      </c>
      <c r="I387" s="209">
        <f t="shared" si="74"/>
        <v>9.167866667</v>
      </c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</row>
    <row r="388">
      <c r="A388" s="214"/>
      <c r="B388" s="215"/>
      <c r="C388" s="216" t="s">
        <v>225</v>
      </c>
      <c r="D388" s="217"/>
      <c r="E388" s="217"/>
      <c r="F388" s="217"/>
      <c r="G388" s="217"/>
      <c r="H388" s="218"/>
      <c r="I388" s="219">
        <f>SUM(I376:I387)*1.3</f>
        <v>150.3484667</v>
      </c>
      <c r="J388" s="214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</row>
    <row r="389">
      <c r="A389" s="220"/>
      <c r="B389" s="221"/>
      <c r="C389" s="222" t="s">
        <v>345</v>
      </c>
      <c r="D389" s="217"/>
      <c r="E389" s="217"/>
      <c r="F389" s="217"/>
      <c r="G389" s="217"/>
      <c r="H389" s="218"/>
      <c r="I389" s="226">
        <v>360.0</v>
      </c>
      <c r="J389" s="224">
        <f>I388/I389</f>
        <v>0.4176346296</v>
      </c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</row>
    <row r="390">
      <c r="A390" s="196"/>
      <c r="B390" s="239">
        <v>9.0</v>
      </c>
      <c r="C390" s="198" t="s">
        <v>346</v>
      </c>
      <c r="D390" s="199"/>
      <c r="E390" s="199"/>
      <c r="F390" s="199"/>
      <c r="G390" s="199"/>
      <c r="H390" s="199"/>
      <c r="I390" s="199"/>
      <c r="J390" s="200"/>
      <c r="K390" s="243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</row>
    <row r="391">
      <c r="A391" s="201"/>
      <c r="B391" s="202"/>
      <c r="C391" s="203" t="s">
        <v>92</v>
      </c>
      <c r="D391" s="204">
        <v>5000.0</v>
      </c>
      <c r="E391" s="205" t="s">
        <v>14</v>
      </c>
      <c r="F391" s="204">
        <v>283.0</v>
      </c>
      <c r="G391" s="204">
        <f t="shared" ref="G391:G401" si="75">IFERROR(F391/D391,0)</f>
        <v>0.0566</v>
      </c>
      <c r="H391" s="204">
        <v>200.0</v>
      </c>
      <c r="I391" s="204">
        <f t="shared" ref="I391:I401" si="76">IFERROR(G391*H391,0)</f>
        <v>11.32</v>
      </c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</row>
    <row r="392">
      <c r="A392" s="206"/>
      <c r="B392" s="207"/>
      <c r="C392" s="211" t="s">
        <v>24</v>
      </c>
      <c r="D392" s="209">
        <v>1000.0</v>
      </c>
      <c r="E392" s="210" t="s">
        <v>14</v>
      </c>
      <c r="F392" s="212">
        <v>192.0</v>
      </c>
      <c r="G392" s="209">
        <f t="shared" si="75"/>
        <v>0.192</v>
      </c>
      <c r="H392" s="209">
        <v>80.0</v>
      </c>
      <c r="I392" s="209">
        <f t="shared" si="76"/>
        <v>15.36</v>
      </c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</row>
    <row r="393">
      <c r="A393" s="201"/>
      <c r="B393" s="202"/>
      <c r="C393" s="203" t="s">
        <v>35</v>
      </c>
      <c r="D393" s="204">
        <v>1000.0</v>
      </c>
      <c r="E393" s="205" t="s">
        <v>14</v>
      </c>
      <c r="F393" s="204">
        <v>20.0</v>
      </c>
      <c r="G393" s="204">
        <f t="shared" si="75"/>
        <v>0.02</v>
      </c>
      <c r="H393" s="204">
        <v>20.0</v>
      </c>
      <c r="I393" s="204">
        <f t="shared" si="76"/>
        <v>0.4</v>
      </c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</row>
    <row r="394">
      <c r="A394" s="206"/>
      <c r="B394" s="207"/>
      <c r="C394" s="208" t="s">
        <v>37</v>
      </c>
      <c r="D394" s="209">
        <v>1000.0</v>
      </c>
      <c r="E394" s="210" t="s">
        <v>14</v>
      </c>
      <c r="F394" s="209">
        <v>29.0</v>
      </c>
      <c r="G394" s="209">
        <f t="shared" si="75"/>
        <v>0.029</v>
      </c>
      <c r="H394" s="209">
        <v>20.0</v>
      </c>
      <c r="I394" s="209">
        <f t="shared" si="76"/>
        <v>0.58</v>
      </c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</row>
    <row r="395">
      <c r="A395" s="201"/>
      <c r="B395" s="202"/>
      <c r="C395" s="203" t="s">
        <v>64</v>
      </c>
      <c r="D395" s="204">
        <v>1000.0</v>
      </c>
      <c r="E395" s="205" t="s">
        <v>14</v>
      </c>
      <c r="F395" s="204">
        <v>90.0</v>
      </c>
      <c r="G395" s="204">
        <f t="shared" si="75"/>
        <v>0.09</v>
      </c>
      <c r="H395" s="204">
        <v>20.0</v>
      </c>
      <c r="I395" s="204">
        <f t="shared" si="76"/>
        <v>1.8</v>
      </c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</row>
    <row r="396">
      <c r="A396" s="206"/>
      <c r="B396" s="207"/>
      <c r="C396" s="208" t="s">
        <v>62</v>
      </c>
      <c r="D396" s="209">
        <v>1000.0</v>
      </c>
      <c r="E396" s="210" t="s">
        <v>14</v>
      </c>
      <c r="F396" s="209">
        <v>90.0</v>
      </c>
      <c r="G396" s="209">
        <f t="shared" si="75"/>
        <v>0.09</v>
      </c>
      <c r="H396" s="209">
        <v>20.0</v>
      </c>
      <c r="I396" s="209">
        <f t="shared" si="76"/>
        <v>1.8</v>
      </c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</row>
    <row r="397">
      <c r="A397" s="201"/>
      <c r="B397" s="202"/>
      <c r="C397" s="203" t="s">
        <v>89</v>
      </c>
      <c r="D397" s="204">
        <v>50.0</v>
      </c>
      <c r="E397" s="205" t="s">
        <v>14</v>
      </c>
      <c r="F397" s="204">
        <v>85.0</v>
      </c>
      <c r="G397" s="204">
        <f t="shared" si="75"/>
        <v>1.7</v>
      </c>
      <c r="H397" s="204">
        <v>20.0</v>
      </c>
      <c r="I397" s="204">
        <f t="shared" si="76"/>
        <v>34</v>
      </c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</row>
    <row r="398">
      <c r="A398" s="206"/>
      <c r="B398" s="207"/>
      <c r="C398" s="208" t="s">
        <v>17</v>
      </c>
      <c r="D398" s="209">
        <v>90.0</v>
      </c>
      <c r="E398" s="210" t="s">
        <v>18</v>
      </c>
      <c r="F398" s="209">
        <v>357.0</v>
      </c>
      <c r="G398" s="209">
        <f t="shared" si="75"/>
        <v>3.966666667</v>
      </c>
      <c r="H398" s="212">
        <v>1.0</v>
      </c>
      <c r="I398" s="209">
        <f t="shared" si="76"/>
        <v>3.966666667</v>
      </c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</row>
    <row r="399">
      <c r="A399" s="247"/>
      <c r="B399" s="248" t="s">
        <v>306</v>
      </c>
      <c r="C399" s="203" t="s">
        <v>183</v>
      </c>
      <c r="D399" s="225">
        <v>1500.0</v>
      </c>
      <c r="E399" s="244" t="s">
        <v>14</v>
      </c>
      <c r="F399" s="225">
        <v>175.84</v>
      </c>
      <c r="G399" s="209">
        <f t="shared" si="75"/>
        <v>0.1172266667</v>
      </c>
      <c r="H399" s="225">
        <v>80.0</v>
      </c>
      <c r="I399" s="209">
        <f t="shared" si="76"/>
        <v>9.378133333</v>
      </c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</row>
    <row r="400">
      <c r="A400" s="259"/>
      <c r="B400" s="260" t="s">
        <v>307</v>
      </c>
      <c r="C400" s="211" t="s">
        <v>52</v>
      </c>
      <c r="D400" s="212">
        <v>1000.0</v>
      </c>
      <c r="E400" s="213" t="s">
        <v>14</v>
      </c>
      <c r="F400" s="212">
        <v>100.0</v>
      </c>
      <c r="G400" s="209">
        <f t="shared" si="75"/>
        <v>0.1</v>
      </c>
      <c r="H400" s="212">
        <v>20.0</v>
      </c>
      <c r="I400" s="209">
        <f t="shared" si="76"/>
        <v>2</v>
      </c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</row>
    <row r="401">
      <c r="A401" s="259"/>
      <c r="B401" s="260" t="s">
        <v>347</v>
      </c>
      <c r="C401" s="211" t="s">
        <v>344</v>
      </c>
      <c r="D401" s="212">
        <v>1500.0</v>
      </c>
      <c r="E401" s="213" t="s">
        <v>14</v>
      </c>
      <c r="F401" s="212">
        <v>687.59</v>
      </c>
      <c r="G401" s="209">
        <f t="shared" si="75"/>
        <v>0.4583933333</v>
      </c>
      <c r="H401" s="212">
        <v>20.0</v>
      </c>
      <c r="I401" s="209">
        <f t="shared" si="76"/>
        <v>9.167866667</v>
      </c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</row>
    <row r="402">
      <c r="A402" s="214"/>
      <c r="B402" s="215"/>
      <c r="C402" s="216" t="s">
        <v>225</v>
      </c>
      <c r="D402" s="217"/>
      <c r="E402" s="217"/>
      <c r="F402" s="217"/>
      <c r="G402" s="217"/>
      <c r="H402" s="218"/>
      <c r="I402" s="219">
        <f>SUM(I391:I401)*1.3</f>
        <v>116.7044667</v>
      </c>
      <c r="J402" s="214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</row>
    <row r="403">
      <c r="A403" s="220"/>
      <c r="B403" s="221"/>
      <c r="C403" s="222" t="s">
        <v>348</v>
      </c>
      <c r="D403" s="217"/>
      <c r="E403" s="217"/>
      <c r="F403" s="217"/>
      <c r="G403" s="217"/>
      <c r="H403" s="218"/>
      <c r="I403" s="226">
        <v>340.0</v>
      </c>
      <c r="J403" s="224">
        <f>I402/I403</f>
        <v>0.3432484314</v>
      </c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</row>
    <row r="404" hidden="1">
      <c r="A404" s="196"/>
      <c r="B404" s="239">
        <v>10.0</v>
      </c>
      <c r="C404" s="198" t="s">
        <v>349</v>
      </c>
      <c r="D404" s="199"/>
      <c r="E404" s="199"/>
      <c r="F404" s="199"/>
      <c r="G404" s="199"/>
      <c r="H404" s="199"/>
      <c r="I404" s="199"/>
      <c r="J404" s="200"/>
      <c r="K404" s="243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</row>
    <row r="405" hidden="1">
      <c r="A405" s="201"/>
      <c r="B405" s="202"/>
      <c r="C405" s="203" t="s">
        <v>92</v>
      </c>
      <c r="D405" s="204">
        <v>5000.0</v>
      </c>
      <c r="E405" s="205" t="s">
        <v>14</v>
      </c>
      <c r="F405" s="204">
        <v>283.0</v>
      </c>
      <c r="G405" s="204">
        <f t="shared" ref="G405:G412" si="77">IFERROR(F405/D405,0)</f>
        <v>0.0566</v>
      </c>
      <c r="H405" s="204">
        <v>200.0</v>
      </c>
      <c r="I405" s="204">
        <f t="shared" ref="I405:I412" si="78">IFERROR(G405*H405,0)</f>
        <v>11.32</v>
      </c>
      <c r="J405" s="189"/>
      <c r="K405" s="243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</row>
    <row r="406" hidden="1">
      <c r="A406" s="206"/>
      <c r="B406" s="207"/>
      <c r="C406" s="208" t="s">
        <v>30</v>
      </c>
      <c r="D406" s="209">
        <v>1000.0</v>
      </c>
      <c r="E406" s="210" t="s">
        <v>14</v>
      </c>
      <c r="F406" s="209">
        <v>320.0</v>
      </c>
      <c r="G406" s="209">
        <f t="shared" si="77"/>
        <v>0.32</v>
      </c>
      <c r="H406" s="209">
        <v>80.0</v>
      </c>
      <c r="I406" s="209">
        <f t="shared" si="78"/>
        <v>25.6</v>
      </c>
      <c r="J406" s="189"/>
      <c r="K406" s="243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</row>
    <row r="407" hidden="1">
      <c r="A407" s="201"/>
      <c r="B407" s="202"/>
      <c r="C407" s="203" t="s">
        <v>35</v>
      </c>
      <c r="D407" s="204">
        <v>1000.0</v>
      </c>
      <c r="E407" s="205" t="s">
        <v>14</v>
      </c>
      <c r="F407" s="204">
        <v>20.0</v>
      </c>
      <c r="G407" s="204">
        <f t="shared" si="77"/>
        <v>0.02</v>
      </c>
      <c r="H407" s="204">
        <v>20.0</v>
      </c>
      <c r="I407" s="204">
        <f t="shared" si="78"/>
        <v>0.4</v>
      </c>
      <c r="J407" s="189"/>
      <c r="K407" s="243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</row>
    <row r="408" hidden="1">
      <c r="A408" s="206"/>
      <c r="B408" s="207"/>
      <c r="C408" s="208" t="s">
        <v>37</v>
      </c>
      <c r="D408" s="209">
        <v>1000.0</v>
      </c>
      <c r="E408" s="210" t="s">
        <v>14</v>
      </c>
      <c r="F408" s="209">
        <v>29.0</v>
      </c>
      <c r="G408" s="209">
        <f t="shared" si="77"/>
        <v>0.029</v>
      </c>
      <c r="H408" s="209">
        <v>20.0</v>
      </c>
      <c r="I408" s="209">
        <f t="shared" si="78"/>
        <v>0.58</v>
      </c>
      <c r="J408" s="189"/>
      <c r="K408" s="243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</row>
    <row r="409" hidden="1">
      <c r="A409" s="201"/>
      <c r="B409" s="202"/>
      <c r="C409" s="203" t="s">
        <v>64</v>
      </c>
      <c r="D409" s="204">
        <v>1000.0</v>
      </c>
      <c r="E409" s="205" t="s">
        <v>14</v>
      </c>
      <c r="F409" s="204">
        <v>90.0</v>
      </c>
      <c r="G409" s="204">
        <f t="shared" si="77"/>
        <v>0.09</v>
      </c>
      <c r="H409" s="204">
        <v>20.0</v>
      </c>
      <c r="I409" s="204">
        <f t="shared" si="78"/>
        <v>1.8</v>
      </c>
      <c r="J409" s="189"/>
      <c r="K409" s="243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</row>
    <row r="410" hidden="1">
      <c r="A410" s="206"/>
      <c r="B410" s="207"/>
      <c r="C410" s="208" t="s">
        <v>62</v>
      </c>
      <c r="D410" s="209">
        <v>1000.0</v>
      </c>
      <c r="E410" s="210" t="s">
        <v>14</v>
      </c>
      <c r="F410" s="209">
        <v>90.0</v>
      </c>
      <c r="G410" s="209">
        <f t="shared" si="77"/>
        <v>0.09</v>
      </c>
      <c r="H410" s="209">
        <v>20.0</v>
      </c>
      <c r="I410" s="209">
        <f t="shared" si="78"/>
        <v>1.8</v>
      </c>
      <c r="J410" s="189"/>
      <c r="K410" s="243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</row>
    <row r="411" hidden="1">
      <c r="A411" s="201"/>
      <c r="B411" s="202"/>
      <c r="C411" s="203" t="s">
        <v>89</v>
      </c>
      <c r="D411" s="204">
        <v>50.0</v>
      </c>
      <c r="E411" s="205" t="s">
        <v>14</v>
      </c>
      <c r="F411" s="204">
        <v>85.0</v>
      </c>
      <c r="G411" s="204">
        <f t="shared" si="77"/>
        <v>1.7</v>
      </c>
      <c r="H411" s="204">
        <v>20.0</v>
      </c>
      <c r="I411" s="204">
        <f t="shared" si="78"/>
        <v>34</v>
      </c>
      <c r="J411" s="189"/>
      <c r="K411" s="243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</row>
    <row r="412" hidden="1">
      <c r="A412" s="206"/>
      <c r="B412" s="207"/>
      <c r="C412" s="208" t="s">
        <v>17</v>
      </c>
      <c r="D412" s="209">
        <v>90.0</v>
      </c>
      <c r="E412" s="210" t="s">
        <v>18</v>
      </c>
      <c r="F412" s="209">
        <v>357.0</v>
      </c>
      <c r="G412" s="209">
        <f t="shared" si="77"/>
        <v>3.966666667</v>
      </c>
      <c r="H412" s="209">
        <v>60.0</v>
      </c>
      <c r="I412" s="209">
        <f t="shared" si="78"/>
        <v>238</v>
      </c>
      <c r="J412" s="189"/>
      <c r="K412" s="243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</row>
    <row r="413" hidden="1">
      <c r="A413" s="247"/>
      <c r="B413" s="248" t="s">
        <v>306</v>
      </c>
      <c r="C413" s="203" t="s">
        <v>183</v>
      </c>
      <c r="D413" s="204"/>
      <c r="E413" s="205"/>
      <c r="F413" s="204"/>
      <c r="G413" s="204"/>
      <c r="H413" s="204"/>
      <c r="I413" s="204"/>
      <c r="J413" s="189"/>
      <c r="K413" s="243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</row>
    <row r="414" hidden="1">
      <c r="A414" s="259"/>
      <c r="B414" s="260" t="s">
        <v>307</v>
      </c>
      <c r="C414" s="211" t="s">
        <v>52</v>
      </c>
      <c r="D414" s="209"/>
      <c r="E414" s="210"/>
      <c r="F414" s="209"/>
      <c r="G414" s="209"/>
      <c r="H414" s="209"/>
      <c r="I414" s="209"/>
      <c r="J414" s="189"/>
      <c r="K414" s="243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</row>
    <row r="415" hidden="1">
      <c r="A415" s="259"/>
      <c r="B415" s="260"/>
      <c r="C415" s="208"/>
      <c r="D415" s="209"/>
      <c r="E415" s="210"/>
      <c r="F415" s="209"/>
      <c r="G415" s="209"/>
      <c r="H415" s="209"/>
      <c r="I415" s="209"/>
      <c r="J415" s="189"/>
      <c r="K415" s="243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</row>
    <row r="416" hidden="1">
      <c r="A416" s="259"/>
      <c r="B416" s="261"/>
      <c r="C416" s="208"/>
      <c r="D416" s="209"/>
      <c r="E416" s="210"/>
      <c r="F416" s="209"/>
      <c r="G416" s="209"/>
      <c r="H416" s="209"/>
      <c r="I416" s="209"/>
      <c r="J416" s="189"/>
      <c r="K416" s="243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</row>
    <row r="417" hidden="1">
      <c r="A417" s="214"/>
      <c r="B417" s="215"/>
      <c r="C417" s="216" t="s">
        <v>225</v>
      </c>
      <c r="D417" s="217"/>
      <c r="E417" s="217"/>
      <c r="F417" s="217"/>
      <c r="G417" s="217"/>
      <c r="H417" s="218"/>
      <c r="I417" s="219">
        <f>SUM(I405:I412)*1.3</f>
        <v>407.55</v>
      </c>
      <c r="J417" s="214"/>
      <c r="K417" s="243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</row>
    <row r="418" hidden="1">
      <c r="A418" s="220"/>
      <c r="B418" s="221"/>
      <c r="C418" s="222" t="s">
        <v>350</v>
      </c>
      <c r="D418" s="217"/>
      <c r="E418" s="217"/>
      <c r="F418" s="217"/>
      <c r="G418" s="217"/>
      <c r="H418" s="218"/>
      <c r="I418" s="223"/>
      <c r="J418" s="220"/>
      <c r="K418" s="243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</row>
    <row r="419">
      <c r="A419" s="196"/>
      <c r="B419" s="239">
        <v>13.0</v>
      </c>
      <c r="C419" s="227" t="s">
        <v>351</v>
      </c>
      <c r="D419" s="199"/>
      <c r="E419" s="199"/>
      <c r="F419" s="199"/>
      <c r="G419" s="199"/>
      <c r="H419" s="199"/>
      <c r="I419" s="199"/>
      <c r="J419" s="200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</row>
    <row r="420">
      <c r="A420" s="201"/>
      <c r="B420" s="202"/>
      <c r="C420" s="203" t="s">
        <v>92</v>
      </c>
      <c r="D420" s="204">
        <v>5000.0</v>
      </c>
      <c r="E420" s="205" t="s">
        <v>14</v>
      </c>
      <c r="F420" s="204">
        <v>289.0</v>
      </c>
      <c r="G420" s="204">
        <f t="shared" ref="G420:G433" si="79">IFERROR(F420/D420,0)</f>
        <v>0.0578</v>
      </c>
      <c r="H420" s="204">
        <v>200.0</v>
      </c>
      <c r="I420" s="204">
        <f t="shared" ref="I420:I433" si="80">IFERROR(G420*H420,0)</f>
        <v>11.56</v>
      </c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</row>
    <row r="421">
      <c r="A421" s="206"/>
      <c r="B421" s="207"/>
      <c r="C421" s="208" t="s">
        <v>17</v>
      </c>
      <c r="D421" s="209">
        <v>90.0</v>
      </c>
      <c r="E421" s="213" t="s">
        <v>352</v>
      </c>
      <c r="F421" s="209">
        <v>357.0</v>
      </c>
      <c r="G421" s="209">
        <f t="shared" si="79"/>
        <v>3.966666667</v>
      </c>
      <c r="H421" s="212">
        <v>1.0</v>
      </c>
      <c r="I421" s="209">
        <f t="shared" si="80"/>
        <v>3.966666667</v>
      </c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</row>
    <row r="422">
      <c r="A422" s="201"/>
      <c r="B422" s="202"/>
      <c r="C422" s="203" t="s">
        <v>73</v>
      </c>
      <c r="D422" s="204">
        <v>2500.0</v>
      </c>
      <c r="E422" s="205" t="s">
        <v>14</v>
      </c>
      <c r="F422" s="204">
        <v>687.59</v>
      </c>
      <c r="G422" s="204">
        <f t="shared" si="79"/>
        <v>0.275036</v>
      </c>
      <c r="H422" s="225">
        <v>50.0</v>
      </c>
      <c r="I422" s="204">
        <f t="shared" si="80"/>
        <v>13.7518</v>
      </c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</row>
    <row r="423">
      <c r="A423" s="206"/>
      <c r="B423" s="207"/>
      <c r="C423" s="208" t="s">
        <v>80</v>
      </c>
      <c r="D423" s="209">
        <v>1000.0</v>
      </c>
      <c r="E423" s="210" t="s">
        <v>14</v>
      </c>
      <c r="F423" s="209">
        <v>110.0</v>
      </c>
      <c r="G423" s="209">
        <f t="shared" si="79"/>
        <v>0.11</v>
      </c>
      <c r="H423" s="209">
        <v>0.5</v>
      </c>
      <c r="I423" s="209">
        <f t="shared" si="80"/>
        <v>0.055</v>
      </c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</row>
    <row r="424">
      <c r="A424" s="201"/>
      <c r="B424" s="202"/>
      <c r="C424" s="203" t="s">
        <v>224</v>
      </c>
      <c r="D424" s="204">
        <v>1000.0</v>
      </c>
      <c r="E424" s="205" t="s">
        <v>14</v>
      </c>
      <c r="F424" s="204">
        <v>78.0</v>
      </c>
      <c r="G424" s="204">
        <f t="shared" si="79"/>
        <v>0.078</v>
      </c>
      <c r="H424" s="204">
        <v>0.5</v>
      </c>
      <c r="I424" s="204">
        <f t="shared" si="80"/>
        <v>0.039</v>
      </c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</row>
    <row r="425">
      <c r="A425" s="201"/>
      <c r="B425" s="202"/>
      <c r="C425" s="249" t="s">
        <v>353</v>
      </c>
      <c r="D425" s="225">
        <v>1000.0</v>
      </c>
      <c r="E425" s="244" t="s">
        <v>14</v>
      </c>
      <c r="F425" s="225">
        <v>730.0</v>
      </c>
      <c r="G425" s="204">
        <f t="shared" si="79"/>
        <v>0.73</v>
      </c>
      <c r="H425" s="225">
        <v>20.0</v>
      </c>
      <c r="I425" s="204">
        <f t="shared" si="80"/>
        <v>14.6</v>
      </c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</row>
    <row r="426">
      <c r="A426" s="206"/>
      <c r="B426" s="207"/>
      <c r="C426" s="208" t="s">
        <v>354</v>
      </c>
      <c r="D426" s="209">
        <v>50.0</v>
      </c>
      <c r="E426" s="210" t="s">
        <v>14</v>
      </c>
      <c r="F426" s="209">
        <v>85.0</v>
      </c>
      <c r="G426" s="209">
        <f t="shared" si="79"/>
        <v>1.7</v>
      </c>
      <c r="H426" s="209">
        <v>10.0</v>
      </c>
      <c r="I426" s="209">
        <f t="shared" si="80"/>
        <v>17</v>
      </c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</row>
    <row r="427">
      <c r="A427" s="206"/>
      <c r="B427" s="207"/>
      <c r="C427" s="211" t="s">
        <v>355</v>
      </c>
      <c r="D427" s="212">
        <v>1000.0</v>
      </c>
      <c r="E427" s="213" t="s">
        <v>14</v>
      </c>
      <c r="F427" s="212">
        <v>80.0</v>
      </c>
      <c r="G427" s="209">
        <f t="shared" si="79"/>
        <v>0.08</v>
      </c>
      <c r="H427" s="212">
        <v>0.2</v>
      </c>
      <c r="I427" s="209">
        <f t="shared" si="80"/>
        <v>0.016</v>
      </c>
      <c r="J427" s="189"/>
      <c r="K427" s="253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</row>
    <row r="428">
      <c r="A428" s="201"/>
      <c r="B428" s="202"/>
      <c r="C428" s="249" t="s">
        <v>356</v>
      </c>
      <c r="D428" s="225">
        <v>500.0</v>
      </c>
      <c r="E428" s="244" t="s">
        <v>14</v>
      </c>
      <c r="F428" s="225">
        <v>67.0</v>
      </c>
      <c r="G428" s="204">
        <f t="shared" si="79"/>
        <v>0.134</v>
      </c>
      <c r="H428" s="225">
        <v>0.1</v>
      </c>
      <c r="I428" s="204">
        <f t="shared" si="80"/>
        <v>0.0134</v>
      </c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</row>
    <row r="429">
      <c r="A429" s="247"/>
      <c r="B429" s="252"/>
      <c r="C429" s="249" t="s">
        <v>334</v>
      </c>
      <c r="D429" s="225">
        <v>1000.0</v>
      </c>
      <c r="E429" s="244" t="s">
        <v>14</v>
      </c>
      <c r="F429" s="225">
        <v>240.0</v>
      </c>
      <c r="G429" s="204">
        <f t="shared" si="79"/>
        <v>0.24</v>
      </c>
      <c r="H429" s="225">
        <v>20.0</v>
      </c>
      <c r="I429" s="209">
        <f t="shared" si="80"/>
        <v>4.8</v>
      </c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</row>
    <row r="430">
      <c r="A430" s="247"/>
      <c r="B430" s="248" t="s">
        <v>306</v>
      </c>
      <c r="C430" s="203" t="s">
        <v>183</v>
      </c>
      <c r="D430" s="225">
        <v>1500.0</v>
      </c>
      <c r="E430" s="244" t="s">
        <v>14</v>
      </c>
      <c r="F430" s="225">
        <v>175.84</v>
      </c>
      <c r="G430" s="204">
        <f t="shared" si="79"/>
        <v>0.1172266667</v>
      </c>
      <c r="H430" s="225">
        <v>80.0</v>
      </c>
      <c r="I430" s="209">
        <f t="shared" si="80"/>
        <v>9.378133333</v>
      </c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</row>
    <row r="431">
      <c r="A431" s="259"/>
      <c r="B431" s="260" t="s">
        <v>307</v>
      </c>
      <c r="C431" s="211" t="s">
        <v>357</v>
      </c>
      <c r="D431" s="212">
        <v>1000.0</v>
      </c>
      <c r="E431" s="213" t="s">
        <v>14</v>
      </c>
      <c r="F431" s="212">
        <v>53.47</v>
      </c>
      <c r="G431" s="209">
        <f t="shared" si="79"/>
        <v>0.05347</v>
      </c>
      <c r="H431" s="212">
        <v>20.0</v>
      </c>
      <c r="I431" s="209">
        <f t="shared" si="80"/>
        <v>1.0694</v>
      </c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</row>
    <row r="432">
      <c r="A432" s="259"/>
      <c r="B432" s="260" t="s">
        <v>307</v>
      </c>
      <c r="C432" s="211" t="s">
        <v>328</v>
      </c>
      <c r="D432" s="212">
        <v>500.0</v>
      </c>
      <c r="E432" s="213" t="s">
        <v>14</v>
      </c>
      <c r="F432" s="212">
        <v>110.7</v>
      </c>
      <c r="G432" s="204">
        <f t="shared" si="79"/>
        <v>0.2214</v>
      </c>
      <c r="H432" s="212">
        <v>30.0</v>
      </c>
      <c r="I432" s="209">
        <f t="shared" si="80"/>
        <v>6.642</v>
      </c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</row>
    <row r="433">
      <c r="A433" s="259"/>
      <c r="B433" s="260" t="s">
        <v>307</v>
      </c>
      <c r="C433" s="211" t="s">
        <v>313</v>
      </c>
      <c r="D433" s="212">
        <v>1000.0</v>
      </c>
      <c r="E433" s="213" t="s">
        <v>14</v>
      </c>
      <c r="F433" s="212">
        <v>135.87</v>
      </c>
      <c r="G433" s="204">
        <f t="shared" si="79"/>
        <v>0.13587</v>
      </c>
      <c r="H433" s="212">
        <v>20.0</v>
      </c>
      <c r="I433" s="209">
        <f t="shared" si="80"/>
        <v>2.7174</v>
      </c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</row>
    <row r="434">
      <c r="A434" s="214"/>
      <c r="B434" s="215"/>
      <c r="C434" s="216" t="s">
        <v>225</v>
      </c>
      <c r="D434" s="217"/>
      <c r="E434" s="217"/>
      <c r="F434" s="217"/>
      <c r="G434" s="217"/>
      <c r="H434" s="218"/>
      <c r="I434" s="219">
        <f>SUM(I420:I433)*1.3</f>
        <v>111.29144</v>
      </c>
      <c r="J434" s="214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</row>
    <row r="435">
      <c r="A435" s="220"/>
      <c r="B435" s="221"/>
      <c r="C435" s="222" t="s">
        <v>358</v>
      </c>
      <c r="D435" s="217"/>
      <c r="E435" s="217"/>
      <c r="F435" s="217"/>
      <c r="G435" s="217"/>
      <c r="H435" s="218"/>
      <c r="I435" s="262">
        <v>320.0</v>
      </c>
      <c r="J435" s="224">
        <f>I434/I435</f>
        <v>0.34778575</v>
      </c>
      <c r="K435" s="243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</row>
    <row r="436">
      <c r="A436" s="196"/>
      <c r="B436" s="239">
        <v>14.0</v>
      </c>
      <c r="C436" s="227" t="s">
        <v>359</v>
      </c>
      <c r="D436" s="199"/>
      <c r="E436" s="199"/>
      <c r="F436" s="199"/>
      <c r="G436" s="199"/>
      <c r="H436" s="199"/>
      <c r="I436" s="199"/>
      <c r="J436" s="200"/>
      <c r="K436" s="196"/>
      <c r="L436" s="239"/>
      <c r="M436" s="227"/>
      <c r="N436" s="199"/>
      <c r="O436" s="199"/>
      <c r="P436" s="199"/>
      <c r="Q436" s="199"/>
      <c r="R436" s="199"/>
      <c r="S436" s="199"/>
      <c r="T436" s="200"/>
      <c r="U436" s="189"/>
      <c r="V436" s="189"/>
      <c r="W436" s="189"/>
      <c r="X436" s="189"/>
      <c r="Y436" s="189"/>
      <c r="Z436" s="189"/>
    </row>
    <row r="437">
      <c r="A437" s="201"/>
      <c r="B437" s="202"/>
      <c r="C437" s="203" t="s">
        <v>92</v>
      </c>
      <c r="D437" s="204">
        <v>5000.0</v>
      </c>
      <c r="E437" s="205" t="s">
        <v>14</v>
      </c>
      <c r="F437" s="204">
        <v>289.0</v>
      </c>
      <c r="G437" s="204">
        <f t="shared" ref="G437:G447" si="81">IFERROR(F437/D437,0)</f>
        <v>0.0578</v>
      </c>
      <c r="H437" s="204">
        <v>200.0</v>
      </c>
      <c r="I437" s="204">
        <f t="shared" ref="I437:I447" si="82">IFERROR(G437*H437,0)</f>
        <v>11.56</v>
      </c>
      <c r="J437" s="189"/>
      <c r="K437" s="201"/>
      <c r="L437" s="202"/>
      <c r="M437" s="203"/>
      <c r="N437" s="204"/>
      <c r="O437" s="205"/>
      <c r="P437" s="204"/>
      <c r="Q437" s="204"/>
      <c r="R437" s="204"/>
      <c r="S437" s="204"/>
      <c r="T437" s="189"/>
      <c r="U437" s="189"/>
      <c r="V437" s="189"/>
      <c r="W437" s="189"/>
      <c r="X437" s="189"/>
      <c r="Y437" s="189"/>
      <c r="Z437" s="189"/>
    </row>
    <row r="438">
      <c r="A438" s="206"/>
      <c r="B438" s="207"/>
      <c r="C438" s="211" t="s">
        <v>360</v>
      </c>
      <c r="D438" s="212">
        <v>1000.0</v>
      </c>
      <c r="E438" s="210" t="s">
        <v>14</v>
      </c>
      <c r="F438" s="212">
        <v>860.0</v>
      </c>
      <c r="G438" s="209">
        <f t="shared" si="81"/>
        <v>0.86</v>
      </c>
      <c r="H438" s="212">
        <v>200.0</v>
      </c>
      <c r="I438" s="209">
        <f t="shared" si="82"/>
        <v>172</v>
      </c>
      <c r="J438" s="189"/>
      <c r="K438" s="206"/>
      <c r="L438" s="207"/>
      <c r="M438" s="208"/>
      <c r="N438" s="209"/>
      <c r="O438" s="210"/>
      <c r="P438" s="209"/>
      <c r="Q438" s="209"/>
      <c r="R438" s="209"/>
      <c r="S438" s="209"/>
      <c r="T438" s="189"/>
      <c r="U438" s="189"/>
      <c r="V438" s="189"/>
      <c r="W438" s="189"/>
      <c r="X438" s="189"/>
      <c r="Y438" s="189"/>
      <c r="Z438" s="189"/>
    </row>
    <row r="439">
      <c r="A439" s="201"/>
      <c r="B439" s="202"/>
      <c r="C439" s="249" t="s">
        <v>361</v>
      </c>
      <c r="D439" s="225">
        <v>1000.0</v>
      </c>
      <c r="E439" s="205" t="s">
        <v>14</v>
      </c>
      <c r="F439" s="225">
        <v>29.0</v>
      </c>
      <c r="G439" s="204">
        <f t="shared" si="81"/>
        <v>0.029</v>
      </c>
      <c r="H439" s="225">
        <v>80.0</v>
      </c>
      <c r="I439" s="204">
        <f t="shared" si="82"/>
        <v>2.32</v>
      </c>
      <c r="J439" s="189"/>
      <c r="K439" s="201"/>
      <c r="L439" s="202"/>
      <c r="M439" s="203"/>
      <c r="N439" s="204"/>
      <c r="O439" s="205"/>
      <c r="P439" s="204"/>
      <c r="Q439" s="204"/>
      <c r="R439" s="204"/>
      <c r="S439" s="204"/>
      <c r="T439" s="189"/>
      <c r="U439" s="189"/>
      <c r="V439" s="189"/>
      <c r="W439" s="189"/>
      <c r="X439" s="189"/>
      <c r="Y439" s="189"/>
      <c r="Z439" s="189"/>
    </row>
    <row r="440">
      <c r="A440" s="206"/>
      <c r="B440" s="207"/>
      <c r="C440" s="211" t="s">
        <v>362</v>
      </c>
      <c r="D440" s="212">
        <v>50.0</v>
      </c>
      <c r="E440" s="213" t="s">
        <v>352</v>
      </c>
      <c r="F440" s="212">
        <v>75.0</v>
      </c>
      <c r="G440" s="209">
        <f t="shared" si="81"/>
        <v>1.5</v>
      </c>
      <c r="H440" s="212">
        <v>4.0</v>
      </c>
      <c r="I440" s="209">
        <f t="shared" si="82"/>
        <v>6</v>
      </c>
      <c r="J440" s="189"/>
      <c r="K440" s="206"/>
      <c r="L440" s="207"/>
      <c r="M440" s="208"/>
      <c r="N440" s="209"/>
      <c r="O440" s="210"/>
      <c r="P440" s="209"/>
      <c r="Q440" s="209"/>
      <c r="R440" s="209"/>
      <c r="S440" s="209"/>
      <c r="T440" s="189"/>
      <c r="U440" s="189"/>
      <c r="V440" s="189"/>
      <c r="W440" s="189"/>
      <c r="X440" s="189"/>
      <c r="Y440" s="189"/>
      <c r="Z440" s="189"/>
    </row>
    <row r="441">
      <c r="A441" s="201"/>
      <c r="B441" s="202"/>
      <c r="C441" s="249" t="s">
        <v>322</v>
      </c>
      <c r="D441" s="204">
        <v>1000.0</v>
      </c>
      <c r="E441" s="205" t="s">
        <v>14</v>
      </c>
      <c r="F441" s="225">
        <v>130.0</v>
      </c>
      <c r="G441" s="204">
        <f t="shared" si="81"/>
        <v>0.13</v>
      </c>
      <c r="H441" s="225">
        <v>40.0</v>
      </c>
      <c r="I441" s="204">
        <f t="shared" si="82"/>
        <v>5.2</v>
      </c>
      <c r="J441" s="189"/>
      <c r="K441" s="201"/>
      <c r="L441" s="202"/>
      <c r="M441" s="203"/>
      <c r="N441" s="204"/>
      <c r="O441" s="205"/>
      <c r="P441" s="204"/>
      <c r="Q441" s="204"/>
      <c r="R441" s="204"/>
      <c r="S441" s="204"/>
      <c r="T441" s="189"/>
      <c r="U441" s="189"/>
      <c r="V441" s="189"/>
      <c r="W441" s="189"/>
      <c r="X441" s="189"/>
      <c r="Y441" s="189"/>
      <c r="Z441" s="189"/>
    </row>
    <row r="442">
      <c r="A442" s="206"/>
      <c r="B442" s="207"/>
      <c r="C442" s="211" t="s">
        <v>321</v>
      </c>
      <c r="D442" s="212">
        <v>1000.0</v>
      </c>
      <c r="E442" s="210" t="s">
        <v>14</v>
      </c>
      <c r="F442" s="212">
        <v>80.0</v>
      </c>
      <c r="G442" s="209">
        <f t="shared" si="81"/>
        <v>0.08</v>
      </c>
      <c r="H442" s="212">
        <v>40.0</v>
      </c>
      <c r="I442" s="209">
        <f t="shared" si="82"/>
        <v>3.2</v>
      </c>
      <c r="J442" s="189"/>
      <c r="K442" s="206"/>
      <c r="L442" s="207"/>
      <c r="M442" s="208"/>
      <c r="N442" s="209"/>
      <c r="O442" s="210"/>
      <c r="P442" s="209"/>
      <c r="Q442" s="209"/>
      <c r="R442" s="209"/>
      <c r="S442" s="209"/>
      <c r="T442" s="189"/>
      <c r="U442" s="189"/>
      <c r="V442" s="189"/>
      <c r="W442" s="189"/>
      <c r="X442" s="189"/>
      <c r="Y442" s="189"/>
      <c r="Z442" s="189"/>
    </row>
    <row r="443">
      <c r="A443" s="201"/>
      <c r="B443" s="202"/>
      <c r="C443" s="249" t="s">
        <v>324</v>
      </c>
      <c r="D443" s="225">
        <v>2000.0</v>
      </c>
      <c r="E443" s="244" t="s">
        <v>14</v>
      </c>
      <c r="F443" s="225">
        <v>400.0</v>
      </c>
      <c r="G443" s="204">
        <f t="shared" si="81"/>
        <v>0.2</v>
      </c>
      <c r="H443" s="225">
        <v>120.0</v>
      </c>
      <c r="I443" s="204">
        <f t="shared" si="82"/>
        <v>24</v>
      </c>
      <c r="J443" s="189"/>
      <c r="K443" s="201"/>
      <c r="L443" s="202"/>
      <c r="M443" s="203"/>
      <c r="N443" s="204"/>
      <c r="O443" s="205"/>
      <c r="P443" s="204"/>
      <c r="Q443" s="204"/>
      <c r="R443" s="204"/>
      <c r="S443" s="204"/>
      <c r="T443" s="189"/>
      <c r="U443" s="189"/>
      <c r="V443" s="189"/>
      <c r="W443" s="189"/>
      <c r="X443" s="189"/>
      <c r="Y443" s="189"/>
      <c r="Z443" s="189"/>
    </row>
    <row r="444">
      <c r="A444" s="247"/>
      <c r="B444" s="248" t="s">
        <v>306</v>
      </c>
      <c r="C444" s="203" t="s">
        <v>183</v>
      </c>
      <c r="D444" s="225">
        <v>1500.0</v>
      </c>
      <c r="E444" s="244" t="s">
        <v>14</v>
      </c>
      <c r="F444" s="225">
        <v>175.84</v>
      </c>
      <c r="G444" s="204">
        <f t="shared" si="81"/>
        <v>0.1172266667</v>
      </c>
      <c r="H444" s="225">
        <v>80.0</v>
      </c>
      <c r="I444" s="204">
        <f t="shared" si="82"/>
        <v>9.378133333</v>
      </c>
      <c r="J444" s="189"/>
      <c r="K444" s="247"/>
      <c r="L444" s="248"/>
      <c r="M444" s="203"/>
      <c r="N444" s="204"/>
      <c r="O444" s="205"/>
      <c r="P444" s="204"/>
      <c r="Q444" s="204"/>
      <c r="R444" s="204"/>
      <c r="S444" s="204"/>
      <c r="T444" s="189"/>
      <c r="U444" s="189"/>
      <c r="V444" s="189"/>
      <c r="W444" s="189"/>
      <c r="X444" s="189"/>
      <c r="Y444" s="189"/>
      <c r="Z444" s="189"/>
    </row>
    <row r="445">
      <c r="A445" s="259"/>
      <c r="B445" s="260" t="s">
        <v>307</v>
      </c>
      <c r="C445" s="211" t="s">
        <v>52</v>
      </c>
      <c r="D445" s="212">
        <v>1000.0</v>
      </c>
      <c r="E445" s="213" t="s">
        <v>14</v>
      </c>
      <c r="F445" s="212">
        <v>100.0</v>
      </c>
      <c r="G445" s="209">
        <f t="shared" si="81"/>
        <v>0.1</v>
      </c>
      <c r="H445" s="212">
        <v>20.0</v>
      </c>
      <c r="I445" s="209">
        <f t="shared" si="82"/>
        <v>2</v>
      </c>
      <c r="J445" s="189"/>
      <c r="K445" s="259"/>
      <c r="L445" s="260"/>
      <c r="M445" s="211"/>
      <c r="N445" s="212"/>
      <c r="O445" s="213"/>
      <c r="P445" s="212"/>
      <c r="Q445" s="209"/>
      <c r="R445" s="212"/>
      <c r="S445" s="209"/>
      <c r="T445" s="189"/>
      <c r="U445" s="189"/>
      <c r="V445" s="189"/>
      <c r="W445" s="189"/>
      <c r="X445" s="189"/>
      <c r="Y445" s="189"/>
      <c r="Z445" s="189"/>
    </row>
    <row r="446">
      <c r="A446" s="259"/>
      <c r="B446" s="260" t="s">
        <v>307</v>
      </c>
      <c r="C446" s="211" t="s">
        <v>313</v>
      </c>
      <c r="D446" s="212">
        <v>1000.0</v>
      </c>
      <c r="E446" s="213" t="s">
        <v>14</v>
      </c>
      <c r="F446" s="212">
        <v>135.87</v>
      </c>
      <c r="G446" s="209">
        <f t="shared" si="81"/>
        <v>0.13587</v>
      </c>
      <c r="H446" s="212">
        <v>30.0</v>
      </c>
      <c r="I446" s="209">
        <f t="shared" si="82"/>
        <v>4.0761</v>
      </c>
      <c r="J446" s="189"/>
      <c r="K446" s="259"/>
      <c r="L446" s="260"/>
      <c r="M446" s="211"/>
      <c r="N446" s="212"/>
      <c r="O446" s="213"/>
      <c r="P446" s="209"/>
      <c r="Q446" s="209"/>
      <c r="R446" s="209"/>
      <c r="S446" s="209"/>
      <c r="T446" s="189"/>
      <c r="U446" s="189"/>
      <c r="V446" s="189"/>
      <c r="W446" s="189"/>
      <c r="X446" s="189"/>
      <c r="Y446" s="189"/>
      <c r="Z446" s="189"/>
    </row>
    <row r="447">
      <c r="A447" s="259"/>
      <c r="B447" s="260" t="s">
        <v>347</v>
      </c>
      <c r="C447" s="211" t="s">
        <v>344</v>
      </c>
      <c r="D447" s="212">
        <v>1500.0</v>
      </c>
      <c r="E447" s="213" t="s">
        <v>14</v>
      </c>
      <c r="F447" s="212">
        <v>687.59</v>
      </c>
      <c r="G447" s="209">
        <f t="shared" si="81"/>
        <v>0.4583933333</v>
      </c>
      <c r="H447" s="212">
        <v>30.0</v>
      </c>
      <c r="I447" s="209">
        <f t="shared" si="82"/>
        <v>13.7518</v>
      </c>
      <c r="J447" s="189"/>
      <c r="K447" s="259"/>
      <c r="L447" s="261"/>
      <c r="M447" s="208"/>
      <c r="N447" s="209"/>
      <c r="O447" s="210"/>
      <c r="P447" s="209"/>
      <c r="Q447" s="209"/>
      <c r="R447" s="209"/>
      <c r="S447" s="209"/>
      <c r="T447" s="189"/>
      <c r="U447" s="189"/>
      <c r="V447" s="189"/>
      <c r="W447" s="189"/>
      <c r="X447" s="189"/>
      <c r="Y447" s="189"/>
      <c r="Z447" s="189"/>
    </row>
    <row r="448">
      <c r="A448" s="214"/>
      <c r="B448" s="215"/>
      <c r="C448" s="216" t="s">
        <v>225</v>
      </c>
      <c r="D448" s="217"/>
      <c r="E448" s="217"/>
      <c r="F448" s="217"/>
      <c r="G448" s="217"/>
      <c r="H448" s="218"/>
      <c r="I448" s="219">
        <f>SUM(I437:I447)*1.3</f>
        <v>329.5318433</v>
      </c>
      <c r="J448" s="214"/>
      <c r="K448" s="214"/>
      <c r="L448" s="215"/>
      <c r="M448" s="216"/>
      <c r="N448" s="217"/>
      <c r="O448" s="217"/>
      <c r="P448" s="217"/>
      <c r="Q448" s="217"/>
      <c r="R448" s="218"/>
      <c r="S448" s="219"/>
      <c r="T448" s="214"/>
      <c r="U448" s="189"/>
      <c r="V448" s="189"/>
      <c r="W448" s="189"/>
      <c r="X448" s="189"/>
      <c r="Y448" s="189"/>
      <c r="Z448" s="189"/>
    </row>
    <row r="449">
      <c r="A449" s="220"/>
      <c r="B449" s="221"/>
      <c r="C449" s="222" t="s">
        <v>363</v>
      </c>
      <c r="D449" s="217"/>
      <c r="E449" s="217"/>
      <c r="F449" s="217"/>
      <c r="G449" s="217"/>
      <c r="H449" s="218"/>
      <c r="I449" s="226">
        <v>690.0</v>
      </c>
      <c r="J449" s="224">
        <f>I448/I449</f>
        <v>0.4775823816</v>
      </c>
      <c r="K449" s="220"/>
      <c r="L449" s="221"/>
      <c r="M449" s="222"/>
      <c r="N449" s="217"/>
      <c r="O449" s="217"/>
      <c r="P449" s="217"/>
      <c r="Q449" s="217"/>
      <c r="R449" s="218"/>
      <c r="S449" s="226"/>
      <c r="T449" s="224"/>
      <c r="U449" s="189"/>
      <c r="V449" s="189"/>
      <c r="W449" s="189"/>
      <c r="X449" s="189"/>
      <c r="Y449" s="189"/>
      <c r="Z449" s="189"/>
    </row>
    <row r="450">
      <c r="A450" s="189"/>
      <c r="B450" s="190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</row>
    <row r="451">
      <c r="A451" s="189"/>
      <c r="B451" s="190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</row>
    <row r="452">
      <c r="A452" s="189"/>
      <c r="B452" s="190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</row>
    <row r="453">
      <c r="A453" s="263" t="s">
        <v>364</v>
      </c>
      <c r="B453" s="187"/>
      <c r="C453" s="187"/>
      <c r="D453" s="187"/>
      <c r="E453" s="187"/>
      <c r="F453" s="187"/>
      <c r="G453" s="187"/>
      <c r="H453" s="187"/>
      <c r="I453" s="187"/>
      <c r="J453" s="188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</row>
    <row r="454">
      <c r="A454" s="192"/>
      <c r="B454" s="193" t="s">
        <v>214</v>
      </c>
      <c r="C454" s="194" t="s">
        <v>105</v>
      </c>
      <c r="D454" s="194" t="s">
        <v>215</v>
      </c>
      <c r="E454" s="194" t="s">
        <v>274</v>
      </c>
      <c r="F454" s="194" t="s">
        <v>4</v>
      </c>
      <c r="G454" s="194" t="s">
        <v>275</v>
      </c>
      <c r="H454" s="194" t="s">
        <v>276</v>
      </c>
      <c r="I454" s="194" t="s">
        <v>219</v>
      </c>
      <c r="J454" s="194" t="s">
        <v>365</v>
      </c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</row>
    <row r="455">
      <c r="A455" s="196"/>
      <c r="B455" s="197">
        <v>1.0</v>
      </c>
      <c r="C455" s="227" t="s">
        <v>366</v>
      </c>
      <c r="D455" s="199"/>
      <c r="E455" s="199"/>
      <c r="F455" s="199"/>
      <c r="G455" s="199"/>
      <c r="H455" s="199"/>
      <c r="I455" s="199"/>
      <c r="J455" s="200"/>
      <c r="K455" s="243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</row>
    <row r="456">
      <c r="A456" s="201"/>
      <c r="B456" s="202"/>
      <c r="C456" s="203" t="s">
        <v>367</v>
      </c>
      <c r="D456" s="204">
        <v>1000.0</v>
      </c>
      <c r="E456" s="205" t="s">
        <v>14</v>
      </c>
      <c r="F456" s="204">
        <v>130.0</v>
      </c>
      <c r="G456" s="204">
        <f t="shared" ref="G456:G468" si="83">IFERROR(F456/D456,0)</f>
        <v>0.13</v>
      </c>
      <c r="H456" s="204">
        <v>200.0</v>
      </c>
      <c r="I456" s="204">
        <f t="shared" ref="I456:I468" si="84">IFERROR(G456*H456,0)</f>
        <v>26</v>
      </c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</row>
    <row r="457">
      <c r="A457" s="206"/>
      <c r="B457" s="207"/>
      <c r="C457" s="208" t="s">
        <v>74</v>
      </c>
      <c r="D457" s="209">
        <v>2500.0</v>
      </c>
      <c r="E457" s="210" t="s">
        <v>14</v>
      </c>
      <c r="F457" s="209">
        <v>689.59</v>
      </c>
      <c r="G457" s="209">
        <f t="shared" si="83"/>
        <v>0.275836</v>
      </c>
      <c r="H457" s="212">
        <v>60.0</v>
      </c>
      <c r="I457" s="209">
        <f t="shared" si="84"/>
        <v>16.55016</v>
      </c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</row>
    <row r="458">
      <c r="A458" s="201"/>
      <c r="B458" s="202"/>
      <c r="C458" s="203" t="s">
        <v>49</v>
      </c>
      <c r="D458" s="204">
        <v>1000.0</v>
      </c>
      <c r="E458" s="205" t="s">
        <v>14</v>
      </c>
      <c r="F458" s="204">
        <v>100.0</v>
      </c>
      <c r="G458" s="204">
        <f t="shared" si="83"/>
        <v>0.1</v>
      </c>
      <c r="H458" s="204">
        <v>15.0</v>
      </c>
      <c r="I458" s="204">
        <f t="shared" si="84"/>
        <v>1.5</v>
      </c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</row>
    <row r="459">
      <c r="A459" s="206"/>
      <c r="B459" s="207"/>
      <c r="C459" s="208" t="s">
        <v>33</v>
      </c>
      <c r="D459" s="212">
        <v>1000.0</v>
      </c>
      <c r="E459" s="210" t="s">
        <v>14</v>
      </c>
      <c r="F459" s="212">
        <v>130.0</v>
      </c>
      <c r="G459" s="209">
        <f t="shared" si="83"/>
        <v>0.13</v>
      </c>
      <c r="H459" s="209">
        <v>20.0</v>
      </c>
      <c r="I459" s="209">
        <f t="shared" si="84"/>
        <v>2.6</v>
      </c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</row>
    <row r="460">
      <c r="A460" s="201"/>
      <c r="B460" s="202"/>
      <c r="C460" s="203" t="s">
        <v>96</v>
      </c>
      <c r="D460" s="204">
        <v>50.0</v>
      </c>
      <c r="E460" s="205" t="s">
        <v>14</v>
      </c>
      <c r="F460" s="204">
        <v>85.0</v>
      </c>
      <c r="G460" s="204">
        <f t="shared" si="83"/>
        <v>1.7</v>
      </c>
      <c r="H460" s="225">
        <v>10.0</v>
      </c>
      <c r="I460" s="204">
        <f t="shared" si="84"/>
        <v>17</v>
      </c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</row>
    <row r="461">
      <c r="A461" s="206"/>
      <c r="B461" s="207"/>
      <c r="C461" s="208" t="s">
        <v>37</v>
      </c>
      <c r="D461" s="209">
        <v>1000.0</v>
      </c>
      <c r="E461" s="210" t="s">
        <v>14</v>
      </c>
      <c r="F461" s="209">
        <v>29.0</v>
      </c>
      <c r="G461" s="209">
        <f t="shared" si="83"/>
        <v>0.029</v>
      </c>
      <c r="H461" s="209">
        <v>15.0</v>
      </c>
      <c r="I461" s="209">
        <f t="shared" si="84"/>
        <v>0.435</v>
      </c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</row>
    <row r="462">
      <c r="A462" s="206"/>
      <c r="B462" s="207"/>
      <c r="C462" s="211" t="s">
        <v>368</v>
      </c>
      <c r="D462" s="212">
        <v>500.0</v>
      </c>
      <c r="E462" s="213" t="s">
        <v>14</v>
      </c>
      <c r="F462" s="212">
        <v>67.0</v>
      </c>
      <c r="G462" s="209">
        <f t="shared" si="83"/>
        <v>0.134</v>
      </c>
      <c r="H462" s="212">
        <v>0.1</v>
      </c>
      <c r="I462" s="209">
        <f t="shared" si="84"/>
        <v>0.0134</v>
      </c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</row>
    <row r="463">
      <c r="A463" s="206"/>
      <c r="B463" s="207"/>
      <c r="C463" s="211" t="s">
        <v>59</v>
      </c>
      <c r="D463" s="212">
        <v>1000.0</v>
      </c>
      <c r="E463" s="213" t="s">
        <v>14</v>
      </c>
      <c r="F463" s="212">
        <v>80.0</v>
      </c>
      <c r="G463" s="209">
        <f t="shared" si="83"/>
        <v>0.08</v>
      </c>
      <c r="H463" s="212">
        <v>0.1</v>
      </c>
      <c r="I463" s="209">
        <f t="shared" si="84"/>
        <v>0.008</v>
      </c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</row>
    <row r="464">
      <c r="A464" s="201"/>
      <c r="B464" s="202"/>
      <c r="C464" s="203" t="s">
        <v>369</v>
      </c>
      <c r="D464" s="204">
        <v>90.0</v>
      </c>
      <c r="E464" s="205" t="s">
        <v>18</v>
      </c>
      <c r="F464" s="204">
        <v>357.0</v>
      </c>
      <c r="G464" s="209">
        <f t="shared" si="83"/>
        <v>3.966666667</v>
      </c>
      <c r="H464" s="204">
        <v>1.0</v>
      </c>
      <c r="I464" s="209">
        <f t="shared" si="84"/>
        <v>3.966666667</v>
      </c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</row>
    <row r="465">
      <c r="A465" s="206"/>
      <c r="B465" s="207"/>
      <c r="C465" s="208" t="s">
        <v>24</v>
      </c>
      <c r="D465" s="209">
        <v>1000.0</v>
      </c>
      <c r="E465" s="210" t="s">
        <v>14</v>
      </c>
      <c r="F465" s="209">
        <v>192.0</v>
      </c>
      <c r="G465" s="209">
        <f t="shared" si="83"/>
        <v>0.192</v>
      </c>
      <c r="H465" s="209">
        <v>50.0</v>
      </c>
      <c r="I465" s="209">
        <f t="shared" si="84"/>
        <v>9.6</v>
      </c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</row>
    <row r="466">
      <c r="A466" s="259"/>
      <c r="B466" s="260" t="s">
        <v>307</v>
      </c>
      <c r="C466" s="211" t="s">
        <v>52</v>
      </c>
      <c r="D466" s="212">
        <v>1000.0</v>
      </c>
      <c r="E466" s="213" t="s">
        <v>14</v>
      </c>
      <c r="F466" s="212">
        <v>100.0</v>
      </c>
      <c r="G466" s="209">
        <f t="shared" si="83"/>
        <v>0.1</v>
      </c>
      <c r="H466" s="212">
        <v>20.0</v>
      </c>
      <c r="I466" s="209">
        <f t="shared" si="84"/>
        <v>2</v>
      </c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</row>
    <row r="467">
      <c r="A467" s="259"/>
      <c r="B467" s="260" t="s">
        <v>307</v>
      </c>
      <c r="C467" s="211" t="s">
        <v>62</v>
      </c>
      <c r="D467" s="212">
        <v>1000.0</v>
      </c>
      <c r="E467" s="213" t="s">
        <v>14</v>
      </c>
      <c r="F467" s="212">
        <v>71.71</v>
      </c>
      <c r="G467" s="209">
        <f t="shared" si="83"/>
        <v>0.07171</v>
      </c>
      <c r="H467" s="212">
        <v>20.0</v>
      </c>
      <c r="I467" s="209">
        <f t="shared" si="84"/>
        <v>1.4342</v>
      </c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</row>
    <row r="468">
      <c r="A468" s="247"/>
      <c r="B468" s="248" t="s">
        <v>324</v>
      </c>
      <c r="C468" s="211" t="s">
        <v>344</v>
      </c>
      <c r="D468" s="225">
        <v>1500.0</v>
      </c>
      <c r="E468" s="244" t="s">
        <v>14</v>
      </c>
      <c r="F468" s="225">
        <v>687.59</v>
      </c>
      <c r="G468" s="209">
        <f t="shared" si="83"/>
        <v>0.4583933333</v>
      </c>
      <c r="H468" s="225">
        <v>20.0</v>
      </c>
      <c r="I468" s="209">
        <f t="shared" si="84"/>
        <v>9.167866667</v>
      </c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</row>
    <row r="469">
      <c r="A469" s="214"/>
      <c r="B469" s="215"/>
      <c r="C469" s="216" t="s">
        <v>225</v>
      </c>
      <c r="D469" s="217"/>
      <c r="E469" s="217"/>
      <c r="F469" s="217"/>
      <c r="G469" s="217"/>
      <c r="H469" s="218"/>
      <c r="I469" s="219">
        <f>SUM(I456:I468)*1.3</f>
        <v>117.3578813</v>
      </c>
      <c r="J469" s="214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</row>
    <row r="470">
      <c r="A470" s="220"/>
      <c r="B470" s="221"/>
      <c r="C470" s="222" t="s">
        <v>370</v>
      </c>
      <c r="D470" s="217"/>
      <c r="E470" s="217"/>
      <c r="F470" s="217"/>
      <c r="G470" s="217"/>
      <c r="H470" s="218"/>
      <c r="I470" s="226">
        <v>320.0</v>
      </c>
      <c r="J470" s="224">
        <f>I469/I470</f>
        <v>0.3667433792</v>
      </c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</row>
    <row r="471">
      <c r="A471" s="196"/>
      <c r="B471" s="197">
        <v>2.0</v>
      </c>
      <c r="C471" s="227" t="s">
        <v>371</v>
      </c>
      <c r="D471" s="199"/>
      <c r="E471" s="199"/>
      <c r="F471" s="199"/>
      <c r="G471" s="199"/>
      <c r="H471" s="199"/>
      <c r="I471" s="199"/>
      <c r="J471" s="200"/>
      <c r="K471" s="243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</row>
    <row r="472">
      <c r="A472" s="201"/>
      <c r="B472" s="202"/>
      <c r="C472" s="203" t="s">
        <v>372</v>
      </c>
      <c r="D472" s="204">
        <v>1.0</v>
      </c>
      <c r="E472" s="205" t="s">
        <v>18</v>
      </c>
      <c r="F472" s="204">
        <v>33.0</v>
      </c>
      <c r="G472" s="204">
        <f t="shared" ref="G472:G480" si="85">IFERROR(F472/D472,0)</f>
        <v>33</v>
      </c>
      <c r="H472" s="204">
        <v>1.0</v>
      </c>
      <c r="I472" s="204">
        <f t="shared" ref="I472:I480" si="86">IFERROR(G472*H472,0)</f>
        <v>33</v>
      </c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</row>
    <row r="473">
      <c r="A473" s="206"/>
      <c r="B473" s="207"/>
      <c r="C473" s="208" t="s">
        <v>264</v>
      </c>
      <c r="D473" s="209">
        <v>90.0</v>
      </c>
      <c r="E473" s="210" t="s">
        <v>18</v>
      </c>
      <c r="F473" s="209">
        <v>357.0</v>
      </c>
      <c r="G473" s="209">
        <f t="shared" si="85"/>
        <v>3.966666667</v>
      </c>
      <c r="H473" s="212">
        <v>0.5</v>
      </c>
      <c r="I473" s="209">
        <f t="shared" si="86"/>
        <v>1.983333333</v>
      </c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</row>
    <row r="474">
      <c r="A474" s="201"/>
      <c r="B474" s="202"/>
      <c r="C474" s="203" t="s">
        <v>41</v>
      </c>
      <c r="D474" s="204">
        <v>1000.0</v>
      </c>
      <c r="E474" s="205" t="s">
        <v>14</v>
      </c>
      <c r="F474" s="204">
        <v>20.0</v>
      </c>
      <c r="G474" s="204">
        <f t="shared" si="85"/>
        <v>0.02</v>
      </c>
      <c r="H474" s="204">
        <v>10.0</v>
      </c>
      <c r="I474" s="209">
        <f t="shared" si="86"/>
        <v>0.2</v>
      </c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</row>
    <row r="475">
      <c r="A475" s="206"/>
      <c r="B475" s="207"/>
      <c r="C475" s="208" t="s">
        <v>99</v>
      </c>
      <c r="D475" s="209">
        <v>0.0</v>
      </c>
      <c r="E475" s="210" t="s">
        <v>14</v>
      </c>
      <c r="F475" s="209">
        <v>0.0</v>
      </c>
      <c r="G475" s="209">
        <f t="shared" si="85"/>
        <v>0</v>
      </c>
      <c r="H475" s="209">
        <v>300.0</v>
      </c>
      <c r="I475" s="209">
        <f t="shared" si="86"/>
        <v>0</v>
      </c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</row>
    <row r="476">
      <c r="A476" s="201"/>
      <c r="B476" s="202"/>
      <c r="C476" s="249" t="s">
        <v>24</v>
      </c>
      <c r="D476" s="204">
        <v>1000.0</v>
      </c>
      <c r="E476" s="205" t="s">
        <v>14</v>
      </c>
      <c r="F476" s="204">
        <v>192.0</v>
      </c>
      <c r="G476" s="204">
        <f t="shared" si="85"/>
        <v>0.192</v>
      </c>
      <c r="H476" s="204">
        <v>80.0</v>
      </c>
      <c r="I476" s="209">
        <f t="shared" si="86"/>
        <v>15.36</v>
      </c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</row>
    <row r="477">
      <c r="A477" s="206"/>
      <c r="B477" s="207"/>
      <c r="C477" s="208" t="s">
        <v>240</v>
      </c>
      <c r="D477" s="209">
        <v>1000.0</v>
      </c>
      <c r="E477" s="210" t="s">
        <v>14</v>
      </c>
      <c r="F477" s="209">
        <v>130.0</v>
      </c>
      <c r="G477" s="209">
        <f t="shared" si="85"/>
        <v>0.13</v>
      </c>
      <c r="H477" s="209">
        <v>1.0</v>
      </c>
      <c r="I477" s="209">
        <f t="shared" si="86"/>
        <v>0.13</v>
      </c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</row>
    <row r="478">
      <c r="A478" s="259"/>
      <c r="B478" s="261"/>
      <c r="C478" s="211" t="s">
        <v>298</v>
      </c>
      <c r="D478" s="212">
        <v>1000.0</v>
      </c>
      <c r="E478" s="213" t="s">
        <v>14</v>
      </c>
      <c r="F478" s="212">
        <v>80.0</v>
      </c>
      <c r="G478" s="204">
        <f t="shared" si="85"/>
        <v>0.08</v>
      </c>
      <c r="H478" s="212">
        <v>0.1</v>
      </c>
      <c r="I478" s="209">
        <f t="shared" si="86"/>
        <v>0.008</v>
      </c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</row>
    <row r="479">
      <c r="A479" s="259"/>
      <c r="B479" s="260" t="s">
        <v>307</v>
      </c>
      <c r="C479" s="211" t="s">
        <v>52</v>
      </c>
      <c r="D479" s="212">
        <v>1000.0</v>
      </c>
      <c r="E479" s="213" t="s">
        <v>14</v>
      </c>
      <c r="F479" s="212">
        <v>100.0</v>
      </c>
      <c r="G479" s="209">
        <f t="shared" si="85"/>
        <v>0.1</v>
      </c>
      <c r="H479" s="212">
        <v>20.0</v>
      </c>
      <c r="I479" s="209">
        <f t="shared" si="86"/>
        <v>2</v>
      </c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</row>
    <row r="480">
      <c r="A480" s="259"/>
      <c r="B480" s="260" t="s">
        <v>307</v>
      </c>
      <c r="C480" s="211" t="s">
        <v>313</v>
      </c>
      <c r="D480" s="212">
        <v>1000.0</v>
      </c>
      <c r="E480" s="213" t="s">
        <v>14</v>
      </c>
      <c r="F480" s="212">
        <v>135.87</v>
      </c>
      <c r="G480" s="204">
        <f t="shared" si="85"/>
        <v>0.13587</v>
      </c>
      <c r="H480" s="212">
        <v>30.0</v>
      </c>
      <c r="I480" s="209">
        <f t="shared" si="86"/>
        <v>4.0761</v>
      </c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</row>
    <row r="481">
      <c r="A481" s="214"/>
      <c r="B481" s="215"/>
      <c r="C481" s="216" t="s">
        <v>225</v>
      </c>
      <c r="D481" s="217"/>
      <c r="E481" s="217"/>
      <c r="F481" s="217"/>
      <c r="G481" s="217"/>
      <c r="H481" s="218"/>
      <c r="I481" s="219">
        <f>SUM(I472:I480)*1.3</f>
        <v>73.78466333</v>
      </c>
      <c r="J481" s="214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</row>
    <row r="482">
      <c r="A482" s="220"/>
      <c r="B482" s="221"/>
      <c r="C482" s="222" t="s">
        <v>373</v>
      </c>
      <c r="D482" s="217"/>
      <c r="E482" s="217"/>
      <c r="F482" s="217"/>
      <c r="G482" s="217"/>
      <c r="H482" s="218"/>
      <c r="I482" s="226">
        <v>280.0</v>
      </c>
      <c r="J482" s="224">
        <f>I481/I482</f>
        <v>0.2635166548</v>
      </c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</row>
    <row r="483">
      <c r="A483" s="196"/>
      <c r="B483" s="197">
        <v>3.0</v>
      </c>
      <c r="C483" s="227" t="s">
        <v>374</v>
      </c>
      <c r="D483" s="199"/>
      <c r="E483" s="199"/>
      <c r="F483" s="199"/>
      <c r="G483" s="199"/>
      <c r="H483" s="199"/>
      <c r="I483" s="199"/>
      <c r="J483" s="200"/>
      <c r="K483" s="243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</row>
    <row r="484">
      <c r="A484" s="201"/>
      <c r="B484" s="202"/>
      <c r="C484" s="203" t="s">
        <v>372</v>
      </c>
      <c r="D484" s="204">
        <v>1.0</v>
      </c>
      <c r="E484" s="205" t="s">
        <v>18</v>
      </c>
      <c r="F484" s="204">
        <v>33.0</v>
      </c>
      <c r="G484" s="204">
        <f t="shared" ref="G484:G494" si="87">IFERROR(F484/D484,0)</f>
        <v>33</v>
      </c>
      <c r="H484" s="204">
        <v>1.0</v>
      </c>
      <c r="I484" s="204">
        <f t="shared" ref="I484:I494" si="88">IFERROR(G484*H484,0)</f>
        <v>33</v>
      </c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</row>
    <row r="485">
      <c r="A485" s="206"/>
      <c r="B485" s="207"/>
      <c r="C485" s="208" t="s">
        <v>264</v>
      </c>
      <c r="D485" s="209">
        <v>90.0</v>
      </c>
      <c r="E485" s="210" t="s">
        <v>18</v>
      </c>
      <c r="F485" s="209">
        <v>357.0</v>
      </c>
      <c r="G485" s="204">
        <f t="shared" si="87"/>
        <v>3.966666667</v>
      </c>
      <c r="H485" s="212">
        <v>0.5</v>
      </c>
      <c r="I485" s="204">
        <f t="shared" si="88"/>
        <v>1.983333333</v>
      </c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</row>
    <row r="486">
      <c r="A486" s="201"/>
      <c r="B486" s="202"/>
      <c r="C486" s="203" t="s">
        <v>41</v>
      </c>
      <c r="D486" s="204">
        <v>1000.0</v>
      </c>
      <c r="E486" s="205" t="s">
        <v>14</v>
      </c>
      <c r="F486" s="204">
        <v>20.0</v>
      </c>
      <c r="G486" s="204">
        <f t="shared" si="87"/>
        <v>0.02</v>
      </c>
      <c r="H486" s="204">
        <v>10.0</v>
      </c>
      <c r="I486" s="204">
        <f t="shared" si="88"/>
        <v>0.2</v>
      </c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</row>
    <row r="487">
      <c r="A487" s="206"/>
      <c r="B487" s="207"/>
      <c r="C487" s="208" t="s">
        <v>99</v>
      </c>
      <c r="D487" s="209">
        <v>0.0</v>
      </c>
      <c r="E487" s="210" t="s">
        <v>14</v>
      </c>
      <c r="F487" s="209">
        <v>0.0</v>
      </c>
      <c r="G487" s="204">
        <f t="shared" si="87"/>
        <v>0</v>
      </c>
      <c r="H487" s="209">
        <v>300.0</v>
      </c>
      <c r="I487" s="204">
        <f t="shared" si="88"/>
        <v>0</v>
      </c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</row>
    <row r="488">
      <c r="A488" s="201"/>
      <c r="B488" s="202"/>
      <c r="C488" s="203" t="s">
        <v>375</v>
      </c>
      <c r="D488" s="204">
        <v>1000.0</v>
      </c>
      <c r="E488" s="205" t="s">
        <v>14</v>
      </c>
      <c r="F488" s="225">
        <v>390.0</v>
      </c>
      <c r="G488" s="204">
        <f t="shared" si="87"/>
        <v>0.39</v>
      </c>
      <c r="H488" s="204">
        <v>35.0</v>
      </c>
      <c r="I488" s="204">
        <f t="shared" si="88"/>
        <v>13.65</v>
      </c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</row>
    <row r="489">
      <c r="A489" s="201"/>
      <c r="B489" s="202"/>
      <c r="C489" s="249" t="s">
        <v>298</v>
      </c>
      <c r="D489" s="225">
        <v>1000.0</v>
      </c>
      <c r="E489" s="244" t="s">
        <v>14</v>
      </c>
      <c r="F489" s="225">
        <v>80.0</v>
      </c>
      <c r="G489" s="204">
        <f t="shared" si="87"/>
        <v>0.08</v>
      </c>
      <c r="H489" s="225">
        <v>0.1</v>
      </c>
      <c r="I489" s="204">
        <f t="shared" si="88"/>
        <v>0.008</v>
      </c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</row>
    <row r="490">
      <c r="A490" s="206"/>
      <c r="B490" s="207"/>
      <c r="C490" s="208" t="s">
        <v>28</v>
      </c>
      <c r="D490" s="209">
        <v>1000.0</v>
      </c>
      <c r="E490" s="210" t="s">
        <v>14</v>
      </c>
      <c r="F490" s="212">
        <v>320.0</v>
      </c>
      <c r="G490" s="204">
        <f t="shared" si="87"/>
        <v>0.32</v>
      </c>
      <c r="H490" s="209">
        <v>30.0</v>
      </c>
      <c r="I490" s="204">
        <f t="shared" si="88"/>
        <v>9.6</v>
      </c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</row>
    <row r="491">
      <c r="A491" s="201"/>
      <c r="B491" s="202"/>
      <c r="C491" s="203" t="s">
        <v>30</v>
      </c>
      <c r="D491" s="204">
        <v>1000.0</v>
      </c>
      <c r="E491" s="205" t="s">
        <v>14</v>
      </c>
      <c r="F491" s="204">
        <v>310.0</v>
      </c>
      <c r="G491" s="204">
        <f t="shared" si="87"/>
        <v>0.31</v>
      </c>
      <c r="H491" s="204">
        <v>35.0</v>
      </c>
      <c r="I491" s="204">
        <f t="shared" si="88"/>
        <v>10.85</v>
      </c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</row>
    <row r="492">
      <c r="A492" s="206"/>
      <c r="B492" s="207"/>
      <c r="C492" s="208" t="s">
        <v>240</v>
      </c>
      <c r="D492" s="209">
        <v>1000.0</v>
      </c>
      <c r="E492" s="210" t="s">
        <v>14</v>
      </c>
      <c r="F492" s="209">
        <v>130.0</v>
      </c>
      <c r="G492" s="204">
        <f t="shared" si="87"/>
        <v>0.13</v>
      </c>
      <c r="H492" s="209">
        <v>1.0</v>
      </c>
      <c r="I492" s="204">
        <f t="shared" si="88"/>
        <v>0.13</v>
      </c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</row>
    <row r="493">
      <c r="A493" s="259"/>
      <c r="B493" s="260" t="s">
        <v>307</v>
      </c>
      <c r="C493" s="211" t="s">
        <v>52</v>
      </c>
      <c r="D493" s="212">
        <v>1000.0</v>
      </c>
      <c r="E493" s="213" t="s">
        <v>14</v>
      </c>
      <c r="F493" s="212">
        <v>100.0</v>
      </c>
      <c r="G493" s="204">
        <f t="shared" si="87"/>
        <v>0.1</v>
      </c>
      <c r="H493" s="212">
        <v>20.0</v>
      </c>
      <c r="I493" s="204">
        <f t="shared" si="88"/>
        <v>2</v>
      </c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</row>
    <row r="494">
      <c r="A494" s="259"/>
      <c r="B494" s="260" t="s">
        <v>307</v>
      </c>
      <c r="C494" s="211" t="s">
        <v>313</v>
      </c>
      <c r="D494" s="212">
        <v>1000.0</v>
      </c>
      <c r="E494" s="213" t="s">
        <v>14</v>
      </c>
      <c r="F494" s="212">
        <v>135.87</v>
      </c>
      <c r="G494" s="204">
        <f t="shared" si="87"/>
        <v>0.13587</v>
      </c>
      <c r="H494" s="212">
        <v>30.0</v>
      </c>
      <c r="I494" s="204">
        <f t="shared" si="88"/>
        <v>4.0761</v>
      </c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</row>
    <row r="495">
      <c r="A495" s="214"/>
      <c r="B495" s="215"/>
      <c r="C495" s="216" t="s">
        <v>225</v>
      </c>
      <c r="D495" s="217"/>
      <c r="E495" s="217"/>
      <c r="F495" s="217"/>
      <c r="G495" s="217"/>
      <c r="H495" s="218"/>
      <c r="I495" s="219">
        <f>SUM(I484:I494)*1.3</f>
        <v>98.14666333</v>
      </c>
      <c r="J495" s="214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</row>
    <row r="496">
      <c r="A496" s="220"/>
      <c r="B496" s="221"/>
      <c r="C496" s="222" t="s">
        <v>376</v>
      </c>
      <c r="D496" s="217"/>
      <c r="E496" s="217"/>
      <c r="F496" s="217"/>
      <c r="G496" s="217"/>
      <c r="H496" s="218"/>
      <c r="I496" s="226">
        <v>320.0</v>
      </c>
      <c r="J496" s="224">
        <f>I495/I496</f>
        <v>0.3067083229</v>
      </c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</row>
    <row r="497">
      <c r="A497" s="196"/>
      <c r="B497" s="197">
        <v>5.0</v>
      </c>
      <c r="C497" s="227" t="s">
        <v>377</v>
      </c>
      <c r="D497" s="199"/>
      <c r="E497" s="199"/>
      <c r="F497" s="199"/>
      <c r="G497" s="199"/>
      <c r="H497" s="199"/>
      <c r="I497" s="199"/>
      <c r="J497" s="200"/>
      <c r="K497" s="243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</row>
    <row r="498">
      <c r="A498" s="201"/>
      <c r="B498" s="202"/>
      <c r="C498" s="203" t="s">
        <v>372</v>
      </c>
      <c r="D498" s="204">
        <v>1.0</v>
      </c>
      <c r="E498" s="205" t="s">
        <v>18</v>
      </c>
      <c r="F498" s="204">
        <v>33.0</v>
      </c>
      <c r="G498" s="204">
        <f t="shared" ref="G498:G507" si="89">IFERROR(F498/D498,0)</f>
        <v>33</v>
      </c>
      <c r="H498" s="204">
        <v>1.0</v>
      </c>
      <c r="I498" s="204">
        <f t="shared" ref="I498:I507" si="90">IFERROR(G498*H498,0)</f>
        <v>33</v>
      </c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</row>
    <row r="499">
      <c r="A499" s="206"/>
      <c r="B499" s="207"/>
      <c r="C499" s="208" t="s">
        <v>378</v>
      </c>
      <c r="D499" s="209">
        <v>84.0</v>
      </c>
      <c r="E499" s="210" t="s">
        <v>18</v>
      </c>
      <c r="F499" s="209">
        <v>389.0</v>
      </c>
      <c r="G499" s="204">
        <f t="shared" si="89"/>
        <v>4.630952381</v>
      </c>
      <c r="H499" s="209">
        <v>1.0</v>
      </c>
      <c r="I499" s="204">
        <f t="shared" si="90"/>
        <v>4.630952381</v>
      </c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</row>
    <row r="500">
      <c r="A500" s="201"/>
      <c r="B500" s="202"/>
      <c r="C500" s="203" t="s">
        <v>264</v>
      </c>
      <c r="D500" s="204">
        <v>90.0</v>
      </c>
      <c r="E500" s="205" t="s">
        <v>18</v>
      </c>
      <c r="F500" s="204">
        <v>357.0</v>
      </c>
      <c r="G500" s="204">
        <f t="shared" si="89"/>
        <v>3.966666667</v>
      </c>
      <c r="H500" s="204">
        <v>1.0</v>
      </c>
      <c r="I500" s="204">
        <f t="shared" si="90"/>
        <v>3.966666667</v>
      </c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</row>
    <row r="501">
      <c r="A501" s="206"/>
      <c r="B501" s="207"/>
      <c r="C501" s="211" t="s">
        <v>24</v>
      </c>
      <c r="D501" s="209">
        <v>1000.0</v>
      </c>
      <c r="E501" s="210" t="s">
        <v>14</v>
      </c>
      <c r="F501" s="212">
        <v>193.0</v>
      </c>
      <c r="G501" s="204">
        <f t="shared" si="89"/>
        <v>0.193</v>
      </c>
      <c r="H501" s="209">
        <v>80.0</v>
      </c>
      <c r="I501" s="204">
        <f t="shared" si="90"/>
        <v>15.44</v>
      </c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</row>
    <row r="502">
      <c r="A502" s="201"/>
      <c r="B502" s="202"/>
      <c r="C502" s="203" t="s">
        <v>89</v>
      </c>
      <c r="D502" s="204">
        <v>50.0</v>
      </c>
      <c r="E502" s="205" t="s">
        <v>14</v>
      </c>
      <c r="F502" s="204">
        <v>85.0</v>
      </c>
      <c r="G502" s="204">
        <f t="shared" si="89"/>
        <v>1.7</v>
      </c>
      <c r="H502" s="204">
        <v>0.5</v>
      </c>
      <c r="I502" s="204">
        <f t="shared" si="90"/>
        <v>0.85</v>
      </c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</row>
    <row r="503">
      <c r="A503" s="201"/>
      <c r="B503" s="202"/>
      <c r="C503" s="249" t="s">
        <v>298</v>
      </c>
      <c r="D503" s="225">
        <v>1000.0</v>
      </c>
      <c r="E503" s="244" t="s">
        <v>14</v>
      </c>
      <c r="F503" s="225">
        <v>80.0</v>
      </c>
      <c r="G503" s="204">
        <f t="shared" si="89"/>
        <v>0.08</v>
      </c>
      <c r="H503" s="225">
        <v>0.1</v>
      </c>
      <c r="I503" s="204">
        <f t="shared" si="90"/>
        <v>0.008</v>
      </c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</row>
    <row r="504">
      <c r="A504" s="206"/>
      <c r="B504" s="207"/>
      <c r="C504" s="208" t="s">
        <v>379</v>
      </c>
      <c r="D504" s="209">
        <v>500.0</v>
      </c>
      <c r="E504" s="210" t="s">
        <v>14</v>
      </c>
      <c r="F504" s="209">
        <v>70.0</v>
      </c>
      <c r="G504" s="204">
        <f t="shared" si="89"/>
        <v>0.14</v>
      </c>
      <c r="H504" s="209">
        <v>0.2</v>
      </c>
      <c r="I504" s="204">
        <f t="shared" si="90"/>
        <v>0.028</v>
      </c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</row>
    <row r="505">
      <c r="A505" s="206"/>
      <c r="B505" s="207"/>
      <c r="C505" s="208" t="s">
        <v>240</v>
      </c>
      <c r="D505" s="209">
        <v>1000.0</v>
      </c>
      <c r="E505" s="210" t="s">
        <v>14</v>
      </c>
      <c r="F505" s="209">
        <v>130.0</v>
      </c>
      <c r="G505" s="204">
        <f t="shared" si="89"/>
        <v>0.13</v>
      </c>
      <c r="H505" s="209">
        <v>1.0</v>
      </c>
      <c r="I505" s="204">
        <f t="shared" si="90"/>
        <v>0.13</v>
      </c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</row>
    <row r="506">
      <c r="A506" s="259"/>
      <c r="B506" s="260" t="s">
        <v>307</v>
      </c>
      <c r="C506" s="211" t="s">
        <v>52</v>
      </c>
      <c r="D506" s="212">
        <v>1000.0</v>
      </c>
      <c r="E506" s="213" t="s">
        <v>14</v>
      </c>
      <c r="F506" s="212">
        <v>100.0</v>
      </c>
      <c r="G506" s="204">
        <f t="shared" si="89"/>
        <v>0.1</v>
      </c>
      <c r="H506" s="212">
        <v>20.0</v>
      </c>
      <c r="I506" s="204">
        <f t="shared" si="90"/>
        <v>2</v>
      </c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</row>
    <row r="507">
      <c r="A507" s="259"/>
      <c r="B507" s="260" t="s">
        <v>307</v>
      </c>
      <c r="C507" s="211" t="s">
        <v>313</v>
      </c>
      <c r="D507" s="212">
        <v>1000.0</v>
      </c>
      <c r="E507" s="213" t="s">
        <v>14</v>
      </c>
      <c r="F507" s="212">
        <v>135.87</v>
      </c>
      <c r="G507" s="204">
        <f t="shared" si="89"/>
        <v>0.13587</v>
      </c>
      <c r="H507" s="212">
        <v>30.0</v>
      </c>
      <c r="I507" s="204">
        <f t="shared" si="90"/>
        <v>4.0761</v>
      </c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</row>
    <row r="508">
      <c r="A508" s="214"/>
      <c r="B508" s="215"/>
      <c r="C508" s="216" t="s">
        <v>225</v>
      </c>
      <c r="D508" s="217"/>
      <c r="E508" s="217"/>
      <c r="F508" s="217"/>
      <c r="G508" s="217"/>
      <c r="H508" s="218"/>
      <c r="I508" s="219">
        <f>SUM(I498:I507)*1.3</f>
        <v>83.36863476</v>
      </c>
      <c r="J508" s="214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</row>
    <row r="509">
      <c r="A509" s="220"/>
      <c r="B509" s="221"/>
      <c r="C509" s="222" t="s">
        <v>380</v>
      </c>
      <c r="D509" s="217"/>
      <c r="E509" s="217"/>
      <c r="F509" s="217"/>
      <c r="G509" s="217"/>
      <c r="H509" s="218"/>
      <c r="I509" s="226">
        <v>280.0</v>
      </c>
      <c r="J509" s="224">
        <f>I508/I509</f>
        <v>0.2977451241</v>
      </c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</row>
    <row r="510">
      <c r="A510" s="196"/>
      <c r="B510" s="197">
        <v>6.0</v>
      </c>
      <c r="C510" s="227" t="s">
        <v>381</v>
      </c>
      <c r="D510" s="199"/>
      <c r="E510" s="199"/>
      <c r="F510" s="199"/>
      <c r="G510" s="199"/>
      <c r="H510" s="199"/>
      <c r="I510" s="199"/>
      <c r="J510" s="200"/>
      <c r="K510" s="243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</row>
    <row r="511">
      <c r="A511" s="201"/>
      <c r="B511" s="202"/>
      <c r="C511" s="203" t="s">
        <v>372</v>
      </c>
      <c r="D511" s="204">
        <v>1.0</v>
      </c>
      <c r="E511" s="205" t="s">
        <v>18</v>
      </c>
      <c r="F511" s="204">
        <v>33.0</v>
      </c>
      <c r="G511" s="204">
        <f t="shared" ref="G511:G521" si="91">IFERROR(F511/D511,0)</f>
        <v>33</v>
      </c>
      <c r="H511" s="204">
        <v>1.0</v>
      </c>
      <c r="I511" s="204">
        <f t="shared" ref="I511:I521" si="92">IFERROR(G511*H511,0)</f>
        <v>33</v>
      </c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</row>
    <row r="512">
      <c r="A512" s="206"/>
      <c r="B512" s="207"/>
      <c r="C512" s="208" t="s">
        <v>378</v>
      </c>
      <c r="D512" s="209">
        <v>84.0</v>
      </c>
      <c r="E512" s="210" t="s">
        <v>18</v>
      </c>
      <c r="F512" s="209">
        <v>389.0</v>
      </c>
      <c r="G512" s="204">
        <f t="shared" si="91"/>
        <v>4.630952381</v>
      </c>
      <c r="H512" s="209">
        <v>1.0</v>
      </c>
      <c r="I512" s="204">
        <f t="shared" si="92"/>
        <v>4.630952381</v>
      </c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</row>
    <row r="513">
      <c r="A513" s="201"/>
      <c r="B513" s="202"/>
      <c r="C513" s="203" t="s">
        <v>264</v>
      </c>
      <c r="D513" s="204">
        <v>90.0</v>
      </c>
      <c r="E513" s="205" t="s">
        <v>18</v>
      </c>
      <c r="F513" s="204">
        <v>357.0</v>
      </c>
      <c r="G513" s="204">
        <f t="shared" si="91"/>
        <v>3.966666667</v>
      </c>
      <c r="H513" s="204">
        <v>1.0</v>
      </c>
      <c r="I513" s="204">
        <f t="shared" si="92"/>
        <v>3.966666667</v>
      </c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</row>
    <row r="514">
      <c r="A514" s="206"/>
      <c r="B514" s="207"/>
      <c r="C514" s="208" t="s">
        <v>89</v>
      </c>
      <c r="D514" s="209">
        <v>50.0</v>
      </c>
      <c r="E514" s="210" t="s">
        <v>14</v>
      </c>
      <c r="F514" s="209">
        <v>85.0</v>
      </c>
      <c r="G514" s="204">
        <f t="shared" si="91"/>
        <v>1.7</v>
      </c>
      <c r="H514" s="209">
        <v>0.5</v>
      </c>
      <c r="I514" s="204">
        <f t="shared" si="92"/>
        <v>0.85</v>
      </c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</row>
    <row r="515">
      <c r="A515" s="201"/>
      <c r="B515" s="202"/>
      <c r="C515" s="203" t="s">
        <v>379</v>
      </c>
      <c r="D515" s="204">
        <v>500.0</v>
      </c>
      <c r="E515" s="205" t="s">
        <v>14</v>
      </c>
      <c r="F515" s="204">
        <v>70.0</v>
      </c>
      <c r="G515" s="204">
        <f t="shared" si="91"/>
        <v>0.14</v>
      </c>
      <c r="H515" s="204">
        <v>0.2</v>
      </c>
      <c r="I515" s="204">
        <f t="shared" si="92"/>
        <v>0.028</v>
      </c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</row>
    <row r="516">
      <c r="A516" s="206"/>
      <c r="B516" s="207"/>
      <c r="C516" s="208" t="s">
        <v>375</v>
      </c>
      <c r="D516" s="209">
        <v>1000.0</v>
      </c>
      <c r="E516" s="210" t="s">
        <v>14</v>
      </c>
      <c r="F516" s="212">
        <v>390.0</v>
      </c>
      <c r="G516" s="204">
        <f t="shared" si="91"/>
        <v>0.39</v>
      </c>
      <c r="H516" s="209">
        <v>35.0</v>
      </c>
      <c r="I516" s="204">
        <f t="shared" si="92"/>
        <v>13.65</v>
      </c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</row>
    <row r="517">
      <c r="A517" s="201"/>
      <c r="B517" s="202"/>
      <c r="C517" s="203" t="s">
        <v>28</v>
      </c>
      <c r="D517" s="204">
        <v>1000.0</v>
      </c>
      <c r="E517" s="205" t="s">
        <v>14</v>
      </c>
      <c r="F517" s="225">
        <v>320.0</v>
      </c>
      <c r="G517" s="204">
        <f t="shared" si="91"/>
        <v>0.32</v>
      </c>
      <c r="H517" s="204">
        <v>30.0</v>
      </c>
      <c r="I517" s="204">
        <f t="shared" si="92"/>
        <v>9.6</v>
      </c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</row>
    <row r="518">
      <c r="A518" s="201"/>
      <c r="B518" s="202"/>
      <c r="C518" s="249" t="s">
        <v>59</v>
      </c>
      <c r="D518" s="225">
        <v>1000.0</v>
      </c>
      <c r="E518" s="244" t="s">
        <v>14</v>
      </c>
      <c r="F518" s="225">
        <v>80.0</v>
      </c>
      <c r="G518" s="204">
        <f t="shared" si="91"/>
        <v>0.08</v>
      </c>
      <c r="H518" s="225">
        <v>0.1</v>
      </c>
      <c r="I518" s="204">
        <f t="shared" si="92"/>
        <v>0.008</v>
      </c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</row>
    <row r="519">
      <c r="A519" s="206"/>
      <c r="B519" s="207"/>
      <c r="C519" s="208" t="s">
        <v>30</v>
      </c>
      <c r="D519" s="209">
        <v>1000.0</v>
      </c>
      <c r="E519" s="210" t="s">
        <v>14</v>
      </c>
      <c r="F519" s="209">
        <v>310.0</v>
      </c>
      <c r="G519" s="204">
        <f t="shared" si="91"/>
        <v>0.31</v>
      </c>
      <c r="H519" s="209">
        <v>35.0</v>
      </c>
      <c r="I519" s="204">
        <f t="shared" si="92"/>
        <v>10.85</v>
      </c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</row>
    <row r="520">
      <c r="A520" s="259"/>
      <c r="B520" s="260" t="s">
        <v>307</v>
      </c>
      <c r="C520" s="211" t="s">
        <v>52</v>
      </c>
      <c r="D520" s="212">
        <v>1000.0</v>
      </c>
      <c r="E520" s="213" t="s">
        <v>14</v>
      </c>
      <c r="F520" s="212">
        <v>100.0</v>
      </c>
      <c r="G520" s="204">
        <f t="shared" si="91"/>
        <v>0.1</v>
      </c>
      <c r="H520" s="212">
        <v>20.0</v>
      </c>
      <c r="I520" s="204">
        <f t="shared" si="92"/>
        <v>2</v>
      </c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</row>
    <row r="521">
      <c r="A521" s="259"/>
      <c r="B521" s="260" t="s">
        <v>307</v>
      </c>
      <c r="C521" s="211" t="s">
        <v>313</v>
      </c>
      <c r="D521" s="212">
        <v>1000.0</v>
      </c>
      <c r="E521" s="213" t="s">
        <v>14</v>
      </c>
      <c r="F521" s="212">
        <v>135.87</v>
      </c>
      <c r="G521" s="204">
        <f t="shared" si="91"/>
        <v>0.13587</v>
      </c>
      <c r="H521" s="212">
        <v>30.0</v>
      </c>
      <c r="I521" s="204">
        <f t="shared" si="92"/>
        <v>4.0761</v>
      </c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</row>
    <row r="522">
      <c r="A522" s="214"/>
      <c r="B522" s="215"/>
      <c r="C522" s="216" t="s">
        <v>225</v>
      </c>
      <c r="D522" s="217"/>
      <c r="E522" s="217"/>
      <c r="F522" s="217"/>
      <c r="G522" s="217"/>
      <c r="H522" s="218"/>
      <c r="I522" s="219">
        <f>SUM(I511:I521)*1.3</f>
        <v>107.4576348</v>
      </c>
      <c r="J522" s="214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</row>
    <row r="523">
      <c r="A523" s="220"/>
      <c r="B523" s="221"/>
      <c r="C523" s="222" t="s">
        <v>382</v>
      </c>
      <c r="D523" s="217"/>
      <c r="E523" s="217"/>
      <c r="F523" s="217"/>
      <c r="G523" s="217"/>
      <c r="H523" s="218"/>
      <c r="I523" s="226">
        <v>320.0</v>
      </c>
      <c r="J523" s="224">
        <f>I522/I523</f>
        <v>0.3358051086</v>
      </c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</row>
    <row r="524">
      <c r="A524" s="189"/>
      <c r="B524" s="190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</row>
    <row r="525">
      <c r="A525" s="264" t="s">
        <v>383</v>
      </c>
      <c r="B525" s="187"/>
      <c r="C525" s="187"/>
      <c r="D525" s="187"/>
      <c r="E525" s="187"/>
      <c r="F525" s="187"/>
      <c r="G525" s="187"/>
      <c r="H525" s="187"/>
      <c r="I525" s="187"/>
      <c r="J525" s="188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</row>
    <row r="526">
      <c r="A526" s="192"/>
      <c r="B526" s="193" t="s">
        <v>214</v>
      </c>
      <c r="C526" s="194" t="s">
        <v>105</v>
      </c>
      <c r="D526" s="194" t="s">
        <v>215</v>
      </c>
      <c r="E526" s="194" t="s">
        <v>274</v>
      </c>
      <c r="F526" s="194" t="s">
        <v>4</v>
      </c>
      <c r="G526" s="194" t="s">
        <v>275</v>
      </c>
      <c r="H526" s="194" t="s">
        <v>276</v>
      </c>
      <c r="I526" s="194" t="s">
        <v>219</v>
      </c>
      <c r="J526" s="194" t="s">
        <v>384</v>
      </c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</row>
    <row r="527">
      <c r="A527" s="196"/>
      <c r="B527" s="197">
        <v>1.0</v>
      </c>
      <c r="C527" s="198" t="s">
        <v>195</v>
      </c>
      <c r="D527" s="199"/>
      <c r="E527" s="199"/>
      <c r="F527" s="199"/>
      <c r="G527" s="199"/>
      <c r="H527" s="199"/>
      <c r="I527" s="199"/>
      <c r="J527" s="200"/>
      <c r="K527" s="243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</row>
    <row r="528">
      <c r="A528" s="201"/>
      <c r="B528" s="202"/>
      <c r="C528" s="203" t="s">
        <v>92</v>
      </c>
      <c r="D528" s="204">
        <v>5000.0</v>
      </c>
      <c r="E528" s="205" t="s">
        <v>14</v>
      </c>
      <c r="F528" s="204">
        <v>289.0</v>
      </c>
      <c r="G528" s="204">
        <f t="shared" ref="G528:G538" si="93">IFERROR(F528/D528,0)</f>
        <v>0.0578</v>
      </c>
      <c r="H528" s="225">
        <v>250.0</v>
      </c>
      <c r="I528" s="204">
        <f t="shared" ref="I528:I538" si="94">IFERROR(G528*H528,0)</f>
        <v>14.45</v>
      </c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</row>
    <row r="529">
      <c r="A529" s="206"/>
      <c r="B529" s="207"/>
      <c r="C529" s="208" t="s">
        <v>42</v>
      </c>
      <c r="D529" s="209">
        <v>300.0</v>
      </c>
      <c r="E529" s="210" t="s">
        <v>14</v>
      </c>
      <c r="F529" s="209">
        <v>40.0</v>
      </c>
      <c r="G529" s="204">
        <f t="shared" si="93"/>
        <v>0.1333333333</v>
      </c>
      <c r="H529" s="209">
        <v>20.0</v>
      </c>
      <c r="I529" s="204">
        <f t="shared" si="94"/>
        <v>2.666666667</v>
      </c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</row>
    <row r="530">
      <c r="A530" s="201"/>
      <c r="B530" s="202"/>
      <c r="C530" s="203" t="s">
        <v>52</v>
      </c>
      <c r="D530" s="204">
        <v>1000.0</v>
      </c>
      <c r="E530" s="205" t="s">
        <v>14</v>
      </c>
      <c r="F530" s="204">
        <v>100.0</v>
      </c>
      <c r="G530" s="204">
        <f t="shared" si="93"/>
        <v>0.1</v>
      </c>
      <c r="H530" s="204">
        <v>50.0</v>
      </c>
      <c r="I530" s="204">
        <f t="shared" si="94"/>
        <v>5</v>
      </c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</row>
    <row r="531">
      <c r="A531" s="206"/>
      <c r="B531" s="207"/>
      <c r="C531" s="208" t="s">
        <v>22</v>
      </c>
      <c r="D531" s="209">
        <v>200.0</v>
      </c>
      <c r="E531" s="210" t="s">
        <v>14</v>
      </c>
      <c r="F531" s="209">
        <v>45.0</v>
      </c>
      <c r="G531" s="204">
        <f t="shared" si="93"/>
        <v>0.225</v>
      </c>
      <c r="H531" s="209">
        <v>60.0</v>
      </c>
      <c r="I531" s="204">
        <f t="shared" si="94"/>
        <v>13.5</v>
      </c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</row>
    <row r="532">
      <c r="A532" s="201"/>
      <c r="B532" s="202"/>
      <c r="C532" s="203" t="s">
        <v>385</v>
      </c>
      <c r="D532" s="204">
        <v>3.0</v>
      </c>
      <c r="E532" s="205" t="s">
        <v>18</v>
      </c>
      <c r="F532" s="204">
        <v>21.4</v>
      </c>
      <c r="G532" s="204">
        <f t="shared" si="93"/>
        <v>7.133333333</v>
      </c>
      <c r="H532" s="204">
        <v>1.0</v>
      </c>
      <c r="I532" s="204">
        <f t="shared" si="94"/>
        <v>7.133333333</v>
      </c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</row>
    <row r="533">
      <c r="A533" s="206"/>
      <c r="B533" s="207"/>
      <c r="C533" s="208" t="s">
        <v>233</v>
      </c>
      <c r="D533" s="209">
        <v>1.0</v>
      </c>
      <c r="E533" s="210" t="s">
        <v>18</v>
      </c>
      <c r="F533" s="209">
        <v>15.58</v>
      </c>
      <c r="G533" s="204">
        <f t="shared" si="93"/>
        <v>15.58</v>
      </c>
      <c r="H533" s="209">
        <v>1.0</v>
      </c>
      <c r="I533" s="204">
        <f t="shared" si="94"/>
        <v>15.58</v>
      </c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</row>
    <row r="534">
      <c r="A534" s="206"/>
      <c r="B534" s="207"/>
      <c r="C534" s="211" t="s">
        <v>58</v>
      </c>
      <c r="D534" s="212">
        <v>1000.0</v>
      </c>
      <c r="E534" s="213" t="s">
        <v>14</v>
      </c>
      <c r="F534" s="212">
        <v>29.0</v>
      </c>
      <c r="G534" s="204">
        <f t="shared" si="93"/>
        <v>0.029</v>
      </c>
      <c r="H534" s="212">
        <v>80.0</v>
      </c>
      <c r="I534" s="204">
        <f t="shared" si="94"/>
        <v>2.32</v>
      </c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</row>
    <row r="535">
      <c r="A535" s="206"/>
      <c r="B535" s="207"/>
      <c r="C535" s="211" t="s">
        <v>386</v>
      </c>
      <c r="D535" s="212">
        <v>500.0</v>
      </c>
      <c r="E535" s="213" t="s">
        <v>14</v>
      </c>
      <c r="F535" s="212">
        <v>67.48</v>
      </c>
      <c r="G535" s="204">
        <f t="shared" si="93"/>
        <v>0.13496</v>
      </c>
      <c r="H535" s="212">
        <v>30.0</v>
      </c>
      <c r="I535" s="204">
        <f t="shared" si="94"/>
        <v>4.0488</v>
      </c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</row>
    <row r="536">
      <c r="A536" s="206"/>
      <c r="B536" s="207"/>
      <c r="C536" s="211" t="s">
        <v>387</v>
      </c>
      <c r="D536" s="212">
        <v>500.0</v>
      </c>
      <c r="E536" s="213" t="s">
        <v>14</v>
      </c>
      <c r="F536" s="212">
        <v>45.0</v>
      </c>
      <c r="G536" s="204">
        <f t="shared" si="93"/>
        <v>0.09</v>
      </c>
      <c r="H536" s="212">
        <v>0.1</v>
      </c>
      <c r="I536" s="204">
        <f t="shared" si="94"/>
        <v>0.009</v>
      </c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</row>
    <row r="537">
      <c r="A537" s="201"/>
      <c r="B537" s="202"/>
      <c r="C537" s="203" t="s">
        <v>388</v>
      </c>
      <c r="D537" s="204">
        <v>340.0</v>
      </c>
      <c r="E537" s="205" t="s">
        <v>14</v>
      </c>
      <c r="F537" s="204">
        <v>120.0</v>
      </c>
      <c r="G537" s="204">
        <f t="shared" si="93"/>
        <v>0.3529411765</v>
      </c>
      <c r="H537" s="204">
        <v>100.0</v>
      </c>
      <c r="I537" s="204">
        <f t="shared" si="94"/>
        <v>35.29411765</v>
      </c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</row>
    <row r="538">
      <c r="A538" s="247"/>
      <c r="B538" s="248" t="s">
        <v>306</v>
      </c>
      <c r="C538" s="249" t="s">
        <v>183</v>
      </c>
      <c r="D538" s="225">
        <v>1500.0</v>
      </c>
      <c r="E538" s="244" t="s">
        <v>14</v>
      </c>
      <c r="F538" s="225">
        <v>175.87</v>
      </c>
      <c r="G538" s="204">
        <f t="shared" si="93"/>
        <v>0.1172466667</v>
      </c>
      <c r="H538" s="225">
        <v>80.0</v>
      </c>
      <c r="I538" s="204">
        <f t="shared" si="94"/>
        <v>9.379733333</v>
      </c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</row>
    <row r="539">
      <c r="A539" s="214"/>
      <c r="B539" s="215"/>
      <c r="C539" s="216" t="s">
        <v>225</v>
      </c>
      <c r="D539" s="217"/>
      <c r="E539" s="217"/>
      <c r="F539" s="217"/>
      <c r="G539" s="217"/>
      <c r="H539" s="218"/>
      <c r="I539" s="219">
        <f>SUM(I528:I538)*1.3</f>
        <v>142.1961463</v>
      </c>
      <c r="J539" s="214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</row>
    <row r="540">
      <c r="A540" s="220"/>
      <c r="B540" s="221"/>
      <c r="C540" s="222" t="s">
        <v>389</v>
      </c>
      <c r="D540" s="217"/>
      <c r="E540" s="217"/>
      <c r="F540" s="217"/>
      <c r="G540" s="217"/>
      <c r="H540" s="218"/>
      <c r="I540" s="226">
        <v>360.0</v>
      </c>
      <c r="J540" s="224">
        <f>I539/I540</f>
        <v>0.3949892952</v>
      </c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</row>
    <row r="541">
      <c r="A541" s="196"/>
      <c r="B541" s="197">
        <v>2.0</v>
      </c>
      <c r="C541" s="227" t="s">
        <v>390</v>
      </c>
      <c r="D541" s="199"/>
      <c r="E541" s="199"/>
      <c r="F541" s="199"/>
      <c r="G541" s="199"/>
      <c r="H541" s="199"/>
      <c r="I541" s="199"/>
      <c r="J541" s="200"/>
      <c r="K541" s="243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</row>
    <row r="542">
      <c r="A542" s="201"/>
      <c r="B542" s="202"/>
      <c r="C542" s="203" t="s">
        <v>92</v>
      </c>
      <c r="D542" s="204">
        <v>5000.0</v>
      </c>
      <c r="E542" s="205" t="s">
        <v>14</v>
      </c>
      <c r="F542" s="204">
        <v>289.0</v>
      </c>
      <c r="G542" s="204">
        <f t="shared" ref="G542:G552" si="95">IFERROR(F542/D542,0)</f>
        <v>0.0578</v>
      </c>
      <c r="H542" s="225">
        <v>250.0</v>
      </c>
      <c r="I542" s="204">
        <f t="shared" ref="I542:I552" si="96">IFERROR(G542*H542,0)</f>
        <v>14.45</v>
      </c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</row>
    <row r="543">
      <c r="A543" s="206"/>
      <c r="B543" s="207"/>
      <c r="C543" s="208" t="s">
        <v>42</v>
      </c>
      <c r="D543" s="209">
        <v>300.0</v>
      </c>
      <c r="E543" s="210" t="s">
        <v>14</v>
      </c>
      <c r="F543" s="209">
        <v>40.0</v>
      </c>
      <c r="G543" s="204">
        <f t="shared" si="95"/>
        <v>0.1333333333</v>
      </c>
      <c r="H543" s="209">
        <v>20.0</v>
      </c>
      <c r="I543" s="204">
        <f t="shared" si="96"/>
        <v>2.666666667</v>
      </c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</row>
    <row r="544">
      <c r="A544" s="201"/>
      <c r="B544" s="202"/>
      <c r="C544" s="203" t="s">
        <v>52</v>
      </c>
      <c r="D544" s="204">
        <v>1000.0</v>
      </c>
      <c r="E544" s="205" t="s">
        <v>14</v>
      </c>
      <c r="F544" s="204">
        <v>100.0</v>
      </c>
      <c r="G544" s="204">
        <f t="shared" si="95"/>
        <v>0.1</v>
      </c>
      <c r="H544" s="204">
        <v>50.0</v>
      </c>
      <c r="I544" s="204">
        <f t="shared" si="96"/>
        <v>5</v>
      </c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</row>
    <row r="545">
      <c r="A545" s="206"/>
      <c r="B545" s="207"/>
      <c r="C545" s="208" t="s">
        <v>22</v>
      </c>
      <c r="D545" s="209">
        <v>200.0</v>
      </c>
      <c r="E545" s="210" t="s">
        <v>14</v>
      </c>
      <c r="F545" s="209">
        <v>45.0</v>
      </c>
      <c r="G545" s="204">
        <f t="shared" si="95"/>
        <v>0.225</v>
      </c>
      <c r="H545" s="209">
        <v>60.0</v>
      </c>
      <c r="I545" s="204">
        <f t="shared" si="96"/>
        <v>13.5</v>
      </c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</row>
    <row r="546">
      <c r="A546" s="201"/>
      <c r="B546" s="202"/>
      <c r="C546" s="203" t="s">
        <v>385</v>
      </c>
      <c r="D546" s="204">
        <v>3.0</v>
      </c>
      <c r="E546" s="205" t="s">
        <v>18</v>
      </c>
      <c r="F546" s="204">
        <v>21.4</v>
      </c>
      <c r="G546" s="204">
        <f t="shared" si="95"/>
        <v>7.133333333</v>
      </c>
      <c r="H546" s="204">
        <v>1.0</v>
      </c>
      <c r="I546" s="204">
        <f t="shared" si="96"/>
        <v>7.133333333</v>
      </c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</row>
    <row r="547">
      <c r="A547" s="206"/>
      <c r="B547" s="207"/>
      <c r="C547" s="208" t="s">
        <v>233</v>
      </c>
      <c r="D547" s="209">
        <v>1.0</v>
      </c>
      <c r="E547" s="210" t="s">
        <v>18</v>
      </c>
      <c r="F547" s="209">
        <v>15.58</v>
      </c>
      <c r="G547" s="204">
        <f t="shared" si="95"/>
        <v>15.58</v>
      </c>
      <c r="H547" s="209">
        <v>1.0</v>
      </c>
      <c r="I547" s="204">
        <f t="shared" si="96"/>
        <v>15.58</v>
      </c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</row>
    <row r="548">
      <c r="A548" s="206"/>
      <c r="B548" s="207"/>
      <c r="C548" s="211" t="s">
        <v>386</v>
      </c>
      <c r="D548" s="212">
        <v>500.0</v>
      </c>
      <c r="E548" s="213" t="s">
        <v>14</v>
      </c>
      <c r="F548" s="212">
        <v>67.48</v>
      </c>
      <c r="G548" s="204">
        <f t="shared" si="95"/>
        <v>0.13496</v>
      </c>
      <c r="H548" s="212">
        <v>30.0</v>
      </c>
      <c r="I548" s="204">
        <f t="shared" si="96"/>
        <v>4.0488</v>
      </c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</row>
    <row r="549">
      <c r="A549" s="201"/>
      <c r="B549" s="202"/>
      <c r="C549" s="203" t="s">
        <v>30</v>
      </c>
      <c r="D549" s="204">
        <v>1000.0</v>
      </c>
      <c r="E549" s="205" t="s">
        <v>14</v>
      </c>
      <c r="F549" s="204">
        <v>310.0</v>
      </c>
      <c r="G549" s="204">
        <f t="shared" si="95"/>
        <v>0.31</v>
      </c>
      <c r="H549" s="204">
        <v>100.0</v>
      </c>
      <c r="I549" s="204">
        <f t="shared" si="96"/>
        <v>31</v>
      </c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</row>
    <row r="550">
      <c r="A550" s="247"/>
      <c r="B550" s="252"/>
      <c r="C550" s="249" t="s">
        <v>391</v>
      </c>
      <c r="D550" s="225">
        <v>500.0</v>
      </c>
      <c r="E550" s="244" t="s">
        <v>14</v>
      </c>
      <c r="F550" s="225">
        <v>45.0</v>
      </c>
      <c r="G550" s="204">
        <f t="shared" si="95"/>
        <v>0.09</v>
      </c>
      <c r="H550" s="225">
        <v>0.1</v>
      </c>
      <c r="I550" s="204">
        <f t="shared" si="96"/>
        <v>0.009</v>
      </c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</row>
    <row r="551">
      <c r="A551" s="247"/>
      <c r="B551" s="252"/>
      <c r="C551" s="249" t="s">
        <v>58</v>
      </c>
      <c r="D551" s="225">
        <v>1000.0</v>
      </c>
      <c r="E551" s="244" t="s">
        <v>14</v>
      </c>
      <c r="F551" s="225">
        <v>29.0</v>
      </c>
      <c r="G551" s="204">
        <f t="shared" si="95"/>
        <v>0.029</v>
      </c>
      <c r="H551" s="225">
        <v>80.0</v>
      </c>
      <c r="I551" s="204">
        <f t="shared" si="96"/>
        <v>2.32</v>
      </c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</row>
    <row r="552">
      <c r="A552" s="265"/>
      <c r="B552" s="252" t="s">
        <v>306</v>
      </c>
      <c r="C552" s="266" t="s">
        <v>183</v>
      </c>
      <c r="D552" s="267">
        <v>1500.0</v>
      </c>
      <c r="E552" s="268" t="s">
        <v>14</v>
      </c>
      <c r="F552" s="267">
        <v>175.87</v>
      </c>
      <c r="G552" s="204">
        <f t="shared" si="95"/>
        <v>0.1172466667</v>
      </c>
      <c r="H552" s="267">
        <v>80.0</v>
      </c>
      <c r="I552" s="204">
        <f t="shared" si="96"/>
        <v>9.379733333</v>
      </c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>
      <c r="A553" s="214"/>
      <c r="B553" s="215"/>
      <c r="C553" s="216" t="s">
        <v>225</v>
      </c>
      <c r="D553" s="217"/>
      <c r="E553" s="217"/>
      <c r="F553" s="217"/>
      <c r="G553" s="217"/>
      <c r="H553" s="218"/>
      <c r="I553" s="219">
        <f>SUM(I542:I552)*1.3</f>
        <v>136.6137933</v>
      </c>
      <c r="J553" s="214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</row>
    <row r="554">
      <c r="A554" s="220"/>
      <c r="B554" s="221"/>
      <c r="C554" s="222" t="s">
        <v>392</v>
      </c>
      <c r="D554" s="217"/>
      <c r="E554" s="217"/>
      <c r="F554" s="217"/>
      <c r="G554" s="217"/>
      <c r="H554" s="218"/>
      <c r="I554" s="226">
        <v>380.0</v>
      </c>
      <c r="J554" s="224">
        <f>I553/I554</f>
        <v>0.3595099825</v>
      </c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</row>
    <row r="555">
      <c r="A555" s="196"/>
      <c r="B555" s="239">
        <v>3.0</v>
      </c>
      <c r="C555" s="227" t="s">
        <v>393</v>
      </c>
      <c r="D555" s="199"/>
      <c r="E555" s="199"/>
      <c r="F555" s="199"/>
      <c r="G555" s="199"/>
      <c r="H555" s="199"/>
      <c r="I555" s="199"/>
      <c r="J555" s="200"/>
      <c r="K555" s="270"/>
      <c r="U555" s="189"/>
      <c r="V555" s="189"/>
      <c r="W555" s="189"/>
      <c r="X555" s="189"/>
      <c r="Y555" s="189"/>
      <c r="Z555" s="189"/>
    </row>
    <row r="556">
      <c r="A556" s="201"/>
      <c r="B556" s="202"/>
      <c r="C556" s="203" t="s">
        <v>92</v>
      </c>
      <c r="D556" s="204">
        <v>5000.0</v>
      </c>
      <c r="E556" s="205" t="s">
        <v>14</v>
      </c>
      <c r="F556" s="204">
        <v>289.0</v>
      </c>
      <c r="G556" s="204">
        <f t="shared" ref="G556:G566" si="97">IFERROR(F556/D556,0)</f>
        <v>0.0578</v>
      </c>
      <c r="H556" s="225">
        <v>250.0</v>
      </c>
      <c r="I556" s="204">
        <f t="shared" ref="I556:I566" si="98">IFERROR(G556*H556,0)</f>
        <v>14.45</v>
      </c>
      <c r="J556" s="189"/>
      <c r="U556" s="189"/>
      <c r="V556" s="189"/>
      <c r="W556" s="189"/>
      <c r="X556" s="189"/>
      <c r="Y556" s="189"/>
      <c r="Z556" s="189"/>
    </row>
    <row r="557">
      <c r="A557" s="206"/>
      <c r="B557" s="207"/>
      <c r="C557" s="208" t="s">
        <v>42</v>
      </c>
      <c r="D557" s="209">
        <v>300.0</v>
      </c>
      <c r="E557" s="210" t="s">
        <v>14</v>
      </c>
      <c r="F557" s="209">
        <v>40.0</v>
      </c>
      <c r="G557" s="204">
        <f t="shared" si="97"/>
        <v>0.1333333333</v>
      </c>
      <c r="H557" s="209">
        <v>20.0</v>
      </c>
      <c r="I557" s="209">
        <f t="shared" si="98"/>
        <v>2.666666667</v>
      </c>
      <c r="J557" s="189"/>
      <c r="U557" s="189"/>
      <c r="V557" s="189"/>
      <c r="W557" s="189"/>
      <c r="X557" s="189"/>
      <c r="Y557" s="189"/>
      <c r="Z557" s="189"/>
    </row>
    <row r="558">
      <c r="A558" s="201"/>
      <c r="B558" s="202"/>
      <c r="C558" s="203" t="s">
        <v>52</v>
      </c>
      <c r="D558" s="204">
        <v>1000.0</v>
      </c>
      <c r="E558" s="205" t="s">
        <v>14</v>
      </c>
      <c r="F558" s="204">
        <v>100.0</v>
      </c>
      <c r="G558" s="204">
        <f t="shared" si="97"/>
        <v>0.1</v>
      </c>
      <c r="H558" s="204">
        <v>50.0</v>
      </c>
      <c r="I558" s="204">
        <f t="shared" si="98"/>
        <v>5</v>
      </c>
      <c r="J558" s="189"/>
      <c r="U558" s="189"/>
      <c r="V558" s="189"/>
      <c r="W558" s="189"/>
      <c r="X558" s="189"/>
      <c r="Y558" s="189"/>
      <c r="Z558" s="189"/>
    </row>
    <row r="559">
      <c r="A559" s="206"/>
      <c r="B559" s="207"/>
      <c r="C559" s="208" t="s">
        <v>22</v>
      </c>
      <c r="D559" s="209">
        <v>200.0</v>
      </c>
      <c r="E559" s="210" t="s">
        <v>14</v>
      </c>
      <c r="F559" s="209">
        <v>45.0</v>
      </c>
      <c r="G559" s="204">
        <f t="shared" si="97"/>
        <v>0.225</v>
      </c>
      <c r="H559" s="209">
        <v>60.0</v>
      </c>
      <c r="I559" s="209">
        <f t="shared" si="98"/>
        <v>13.5</v>
      </c>
      <c r="J559" s="189"/>
      <c r="U559" s="189"/>
      <c r="V559" s="189"/>
      <c r="W559" s="189"/>
      <c r="X559" s="189"/>
      <c r="Y559" s="189"/>
      <c r="Z559" s="189"/>
    </row>
    <row r="560">
      <c r="A560" s="201"/>
      <c r="B560" s="202"/>
      <c r="C560" s="203" t="s">
        <v>385</v>
      </c>
      <c r="D560" s="204">
        <v>3.0</v>
      </c>
      <c r="E560" s="244" t="s">
        <v>352</v>
      </c>
      <c r="F560" s="204">
        <v>21.4</v>
      </c>
      <c r="G560" s="204">
        <f t="shared" si="97"/>
        <v>7.133333333</v>
      </c>
      <c r="H560" s="204">
        <v>1.0</v>
      </c>
      <c r="I560" s="204">
        <f t="shared" si="98"/>
        <v>7.133333333</v>
      </c>
      <c r="J560" s="189"/>
      <c r="U560" s="189"/>
      <c r="V560" s="189"/>
      <c r="W560" s="189"/>
      <c r="X560" s="189"/>
      <c r="Y560" s="189"/>
      <c r="Z560" s="189"/>
    </row>
    <row r="561">
      <c r="A561" s="206"/>
      <c r="B561" s="207"/>
      <c r="C561" s="208" t="s">
        <v>64</v>
      </c>
      <c r="D561" s="209">
        <v>1.0</v>
      </c>
      <c r="E561" s="213" t="s">
        <v>352</v>
      </c>
      <c r="F561" s="209">
        <v>15.58</v>
      </c>
      <c r="G561" s="204">
        <f t="shared" si="97"/>
        <v>15.58</v>
      </c>
      <c r="H561" s="209">
        <v>1.0</v>
      </c>
      <c r="I561" s="204">
        <f t="shared" si="98"/>
        <v>15.58</v>
      </c>
      <c r="J561" s="189"/>
      <c r="U561" s="189"/>
      <c r="V561" s="189"/>
      <c r="W561" s="189"/>
      <c r="X561" s="189"/>
      <c r="Y561" s="189"/>
      <c r="Z561" s="189"/>
    </row>
    <row r="562">
      <c r="A562" s="206"/>
      <c r="B562" s="207"/>
      <c r="C562" s="211" t="s">
        <v>386</v>
      </c>
      <c r="D562" s="212">
        <v>500.0</v>
      </c>
      <c r="E562" s="213" t="s">
        <v>14</v>
      </c>
      <c r="F562" s="212">
        <v>67.48</v>
      </c>
      <c r="G562" s="204">
        <f t="shared" si="97"/>
        <v>0.13496</v>
      </c>
      <c r="H562" s="212">
        <v>20.0</v>
      </c>
      <c r="I562" s="204">
        <f t="shared" si="98"/>
        <v>2.6992</v>
      </c>
      <c r="J562" s="189"/>
      <c r="U562" s="189"/>
      <c r="V562" s="189"/>
      <c r="W562" s="189"/>
      <c r="X562" s="189"/>
      <c r="Y562" s="189"/>
      <c r="Z562" s="189"/>
    </row>
    <row r="563">
      <c r="A563" s="201"/>
      <c r="B563" s="202"/>
      <c r="C563" s="249" t="s">
        <v>28</v>
      </c>
      <c r="D563" s="225">
        <v>20.0</v>
      </c>
      <c r="E563" s="244" t="s">
        <v>352</v>
      </c>
      <c r="F563" s="225">
        <v>320.0</v>
      </c>
      <c r="G563" s="204">
        <f t="shared" si="97"/>
        <v>16</v>
      </c>
      <c r="H563" s="225">
        <v>2.0</v>
      </c>
      <c r="I563" s="209">
        <f t="shared" si="98"/>
        <v>32</v>
      </c>
      <c r="J563" s="189"/>
      <c r="U563" s="189"/>
      <c r="V563" s="189"/>
      <c r="W563" s="189"/>
      <c r="X563" s="189"/>
      <c r="Y563" s="189"/>
      <c r="Z563" s="189"/>
    </row>
    <row r="564">
      <c r="A564" s="247"/>
      <c r="B564" s="252"/>
      <c r="C564" s="249" t="s">
        <v>387</v>
      </c>
      <c r="D564" s="225">
        <v>500.0</v>
      </c>
      <c r="E564" s="244" t="s">
        <v>14</v>
      </c>
      <c r="F564" s="225">
        <v>45.0</v>
      </c>
      <c r="G564" s="204">
        <f t="shared" si="97"/>
        <v>0.09</v>
      </c>
      <c r="H564" s="225">
        <v>0.1</v>
      </c>
      <c r="I564" s="204">
        <f t="shared" si="98"/>
        <v>0.009</v>
      </c>
      <c r="J564" s="189"/>
      <c r="U564" s="189"/>
      <c r="V564" s="189"/>
      <c r="W564" s="189"/>
      <c r="X564" s="189"/>
      <c r="Y564" s="189"/>
      <c r="Z564" s="189"/>
    </row>
    <row r="565">
      <c r="A565" s="247"/>
      <c r="B565" s="252"/>
      <c r="C565" s="249" t="s">
        <v>58</v>
      </c>
      <c r="D565" s="225">
        <v>1000.0</v>
      </c>
      <c r="E565" s="244" t="s">
        <v>14</v>
      </c>
      <c r="F565" s="225">
        <v>29.0</v>
      </c>
      <c r="G565" s="204">
        <f t="shared" si="97"/>
        <v>0.029</v>
      </c>
      <c r="H565" s="225">
        <v>80.0</v>
      </c>
      <c r="I565" s="209">
        <f t="shared" si="98"/>
        <v>2.32</v>
      </c>
      <c r="J565" s="189"/>
      <c r="U565" s="189"/>
      <c r="V565" s="189"/>
      <c r="W565" s="189"/>
      <c r="X565" s="189"/>
      <c r="Y565" s="189"/>
      <c r="Z565" s="189"/>
    </row>
    <row r="566">
      <c r="A566" s="265"/>
      <c r="B566" s="252" t="s">
        <v>306</v>
      </c>
      <c r="C566" s="266" t="s">
        <v>183</v>
      </c>
      <c r="D566" s="267">
        <v>1500.0</v>
      </c>
      <c r="E566" s="268" t="s">
        <v>14</v>
      </c>
      <c r="F566" s="267">
        <v>175.87</v>
      </c>
      <c r="G566" s="204">
        <f t="shared" si="97"/>
        <v>0.1172466667</v>
      </c>
      <c r="H566" s="267">
        <v>80.0</v>
      </c>
      <c r="I566" s="204">
        <f t="shared" si="98"/>
        <v>9.379733333</v>
      </c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>
      <c r="A567" s="214"/>
      <c r="B567" s="215"/>
      <c r="C567" s="216" t="s">
        <v>225</v>
      </c>
      <c r="D567" s="217"/>
      <c r="E567" s="217"/>
      <c r="F567" s="217"/>
      <c r="G567" s="217"/>
      <c r="H567" s="218"/>
      <c r="I567" s="219">
        <f>SUM(I556:I566)*1.3</f>
        <v>136.1593133</v>
      </c>
      <c r="J567" s="214"/>
      <c r="U567" s="189"/>
      <c r="V567" s="189"/>
      <c r="W567" s="189"/>
      <c r="X567" s="189"/>
      <c r="Y567" s="189"/>
      <c r="Z567" s="189"/>
    </row>
    <row r="568">
      <c r="A568" s="220"/>
      <c r="B568" s="221"/>
      <c r="C568" s="222" t="s">
        <v>394</v>
      </c>
      <c r="D568" s="217"/>
      <c r="E568" s="217"/>
      <c r="F568" s="217"/>
      <c r="G568" s="217"/>
      <c r="H568" s="218"/>
      <c r="I568" s="226">
        <v>380.0</v>
      </c>
      <c r="J568" s="224">
        <f>I567/I568</f>
        <v>0.3583139825</v>
      </c>
      <c r="U568" s="189"/>
      <c r="V568" s="189"/>
      <c r="W568" s="189"/>
      <c r="X568" s="189"/>
      <c r="Y568" s="189"/>
      <c r="Z568" s="189"/>
    </row>
    <row r="569">
      <c r="A569" s="196"/>
      <c r="B569" s="239">
        <v>4.0</v>
      </c>
      <c r="C569" s="227" t="s">
        <v>199</v>
      </c>
      <c r="D569" s="199"/>
      <c r="E569" s="199"/>
      <c r="F569" s="199"/>
      <c r="G569" s="199"/>
      <c r="H569" s="199"/>
      <c r="I569" s="199"/>
      <c r="J569" s="200"/>
      <c r="K569" s="243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</row>
    <row r="570">
      <c r="A570" s="201"/>
      <c r="B570" s="202"/>
      <c r="C570" s="203" t="s">
        <v>92</v>
      </c>
      <c r="D570" s="204">
        <v>5000.0</v>
      </c>
      <c r="E570" s="205" t="s">
        <v>14</v>
      </c>
      <c r="F570" s="204">
        <v>289.0</v>
      </c>
      <c r="G570" s="204">
        <f t="shared" ref="G570:G580" si="99">IFERROR(F570/D570,0)</f>
        <v>0.0578</v>
      </c>
      <c r="H570" s="225">
        <v>250.0</v>
      </c>
      <c r="I570" s="204">
        <f t="shared" ref="I570:I580" si="100">IFERROR(G570*H570,0)</f>
        <v>14.45</v>
      </c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</row>
    <row r="571">
      <c r="A571" s="206"/>
      <c r="B571" s="207"/>
      <c r="C571" s="208" t="s">
        <v>42</v>
      </c>
      <c r="D571" s="209">
        <v>300.0</v>
      </c>
      <c r="E571" s="210" t="s">
        <v>14</v>
      </c>
      <c r="F571" s="209">
        <v>40.0</v>
      </c>
      <c r="G571" s="209">
        <f t="shared" si="99"/>
        <v>0.1333333333</v>
      </c>
      <c r="H571" s="209">
        <v>20.0</v>
      </c>
      <c r="I571" s="209">
        <f t="shared" si="100"/>
        <v>2.666666667</v>
      </c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</row>
    <row r="572">
      <c r="A572" s="201"/>
      <c r="B572" s="202"/>
      <c r="C572" s="203" t="s">
        <v>52</v>
      </c>
      <c r="D572" s="204">
        <v>1000.0</v>
      </c>
      <c r="E572" s="205" t="s">
        <v>14</v>
      </c>
      <c r="F572" s="204">
        <v>100.0</v>
      </c>
      <c r="G572" s="204">
        <f t="shared" si="99"/>
        <v>0.1</v>
      </c>
      <c r="H572" s="204">
        <v>50.0</v>
      </c>
      <c r="I572" s="204">
        <f t="shared" si="100"/>
        <v>5</v>
      </c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</row>
    <row r="573">
      <c r="A573" s="206"/>
      <c r="B573" s="207"/>
      <c r="C573" s="208" t="s">
        <v>22</v>
      </c>
      <c r="D573" s="209">
        <v>200.0</v>
      </c>
      <c r="E573" s="210" t="s">
        <v>14</v>
      </c>
      <c r="F573" s="209">
        <v>45.0</v>
      </c>
      <c r="G573" s="204">
        <f t="shared" si="99"/>
        <v>0.225</v>
      </c>
      <c r="H573" s="209">
        <v>60.0</v>
      </c>
      <c r="I573" s="204">
        <f t="shared" si="100"/>
        <v>13.5</v>
      </c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</row>
    <row r="574">
      <c r="A574" s="201"/>
      <c r="B574" s="202"/>
      <c r="C574" s="203" t="s">
        <v>385</v>
      </c>
      <c r="D574" s="204">
        <v>3.0</v>
      </c>
      <c r="E574" s="244" t="s">
        <v>352</v>
      </c>
      <c r="F574" s="204">
        <v>21.4</v>
      </c>
      <c r="G574" s="209">
        <f t="shared" si="99"/>
        <v>7.133333333</v>
      </c>
      <c r="H574" s="204">
        <v>1.0</v>
      </c>
      <c r="I574" s="209">
        <f t="shared" si="100"/>
        <v>7.133333333</v>
      </c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</row>
    <row r="575">
      <c r="A575" s="201"/>
      <c r="B575" s="202"/>
      <c r="C575" s="249" t="s">
        <v>386</v>
      </c>
      <c r="D575" s="225">
        <v>500.0</v>
      </c>
      <c r="E575" s="244" t="s">
        <v>14</v>
      </c>
      <c r="F575" s="225">
        <v>67.48</v>
      </c>
      <c r="G575" s="204">
        <f t="shared" si="99"/>
        <v>0.13496</v>
      </c>
      <c r="H575" s="225">
        <v>30.0</v>
      </c>
      <c r="I575" s="204">
        <f t="shared" si="100"/>
        <v>4.0488</v>
      </c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</row>
    <row r="576">
      <c r="A576" s="206"/>
      <c r="B576" s="207"/>
      <c r="C576" s="208" t="s">
        <v>64</v>
      </c>
      <c r="D576" s="209">
        <v>1.0</v>
      </c>
      <c r="E576" s="213" t="s">
        <v>352</v>
      </c>
      <c r="F576" s="209">
        <v>15.58</v>
      </c>
      <c r="G576" s="204">
        <f t="shared" si="99"/>
        <v>15.58</v>
      </c>
      <c r="H576" s="209">
        <v>1.0</v>
      </c>
      <c r="I576" s="204">
        <f t="shared" si="100"/>
        <v>15.58</v>
      </c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</row>
    <row r="577">
      <c r="A577" s="206"/>
      <c r="B577" s="207"/>
      <c r="C577" s="211" t="s">
        <v>58</v>
      </c>
      <c r="D577" s="212">
        <v>1000.0</v>
      </c>
      <c r="E577" s="213" t="s">
        <v>14</v>
      </c>
      <c r="F577" s="212">
        <v>29.0</v>
      </c>
      <c r="G577" s="209">
        <f t="shared" si="99"/>
        <v>0.029</v>
      </c>
      <c r="H577" s="212">
        <v>80.0</v>
      </c>
      <c r="I577" s="209">
        <f t="shared" si="100"/>
        <v>2.32</v>
      </c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</row>
    <row r="578">
      <c r="A578" s="206"/>
      <c r="B578" s="207"/>
      <c r="C578" s="211" t="s">
        <v>395</v>
      </c>
      <c r="D578" s="212">
        <v>500.0</v>
      </c>
      <c r="E578" s="213" t="s">
        <v>14</v>
      </c>
      <c r="F578" s="212">
        <v>45.0</v>
      </c>
      <c r="G578" s="204">
        <f t="shared" si="99"/>
        <v>0.09</v>
      </c>
      <c r="H578" s="212">
        <v>0.1</v>
      </c>
      <c r="I578" s="204">
        <f t="shared" si="100"/>
        <v>0.009</v>
      </c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</row>
    <row r="579">
      <c r="A579" s="201"/>
      <c r="B579" s="202"/>
      <c r="C579" s="249" t="s">
        <v>199</v>
      </c>
      <c r="D579" s="204">
        <v>1000.0</v>
      </c>
      <c r="E579" s="205" t="s">
        <v>14</v>
      </c>
      <c r="F579" s="225">
        <v>192.0</v>
      </c>
      <c r="G579" s="204">
        <f t="shared" si="99"/>
        <v>0.192</v>
      </c>
      <c r="H579" s="225">
        <v>80.0</v>
      </c>
      <c r="I579" s="204">
        <f t="shared" si="100"/>
        <v>15.36</v>
      </c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</row>
    <row r="580">
      <c r="A580" s="265"/>
      <c r="B580" s="252" t="s">
        <v>306</v>
      </c>
      <c r="C580" s="266" t="s">
        <v>183</v>
      </c>
      <c r="D580" s="267">
        <v>1500.0</v>
      </c>
      <c r="E580" s="268" t="s">
        <v>14</v>
      </c>
      <c r="F580" s="267">
        <v>175.87</v>
      </c>
      <c r="G580" s="209">
        <f t="shared" si="99"/>
        <v>0.1172466667</v>
      </c>
      <c r="H580" s="267">
        <v>80.0</v>
      </c>
      <c r="I580" s="209">
        <f t="shared" si="100"/>
        <v>9.379733333</v>
      </c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>
      <c r="A581" s="214"/>
      <c r="B581" s="215"/>
      <c r="C581" s="216" t="s">
        <v>225</v>
      </c>
      <c r="D581" s="217"/>
      <c r="E581" s="217"/>
      <c r="F581" s="217"/>
      <c r="G581" s="217"/>
      <c r="H581" s="218"/>
      <c r="I581" s="219">
        <f>SUM(I570:I580)*1.3</f>
        <v>116.2817933</v>
      </c>
      <c r="J581" s="214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</row>
    <row r="582">
      <c r="A582" s="220"/>
      <c r="B582" s="221"/>
      <c r="C582" s="222" t="s">
        <v>396</v>
      </c>
      <c r="D582" s="217"/>
      <c r="E582" s="217"/>
      <c r="F582" s="217"/>
      <c r="G582" s="217"/>
      <c r="H582" s="218"/>
      <c r="I582" s="226">
        <v>360.0</v>
      </c>
      <c r="J582" s="224">
        <f>I581/I582</f>
        <v>0.3230049815</v>
      </c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</row>
    <row r="583">
      <c r="A583" s="189"/>
      <c r="B583" s="190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</row>
    <row r="584">
      <c r="A584" s="189"/>
      <c r="B584" s="190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</row>
    <row r="585">
      <c r="A585" s="271" t="s">
        <v>397</v>
      </c>
      <c r="B585" s="187"/>
      <c r="C585" s="187"/>
      <c r="D585" s="187"/>
      <c r="E585" s="187"/>
      <c r="F585" s="187"/>
      <c r="G585" s="187"/>
      <c r="H585" s="187"/>
      <c r="I585" s="187"/>
      <c r="J585" s="188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</row>
    <row r="586">
      <c r="A586" s="192"/>
      <c r="B586" s="193" t="s">
        <v>214</v>
      </c>
      <c r="C586" s="194" t="s">
        <v>105</v>
      </c>
      <c r="D586" s="194" t="s">
        <v>215</v>
      </c>
      <c r="E586" s="194" t="s">
        <v>274</v>
      </c>
      <c r="F586" s="194" t="s">
        <v>4</v>
      </c>
      <c r="G586" s="194" t="s">
        <v>275</v>
      </c>
      <c r="H586" s="194" t="s">
        <v>276</v>
      </c>
      <c r="I586" s="194" t="s">
        <v>219</v>
      </c>
      <c r="J586" s="194" t="s">
        <v>398</v>
      </c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</row>
    <row r="587">
      <c r="A587" s="196"/>
      <c r="B587" s="197">
        <v>1.0</v>
      </c>
      <c r="C587" s="198" t="s">
        <v>399</v>
      </c>
      <c r="D587" s="199"/>
      <c r="E587" s="199"/>
      <c r="F587" s="199"/>
      <c r="G587" s="199"/>
      <c r="H587" s="199"/>
      <c r="I587" s="199"/>
      <c r="J587" s="200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</row>
    <row r="588">
      <c r="A588" s="201"/>
      <c r="B588" s="202"/>
      <c r="C588" s="203" t="s">
        <v>400</v>
      </c>
      <c r="D588" s="204">
        <v>4000.0</v>
      </c>
      <c r="E588" s="205" t="s">
        <v>14</v>
      </c>
      <c r="F588" s="204">
        <v>1350.0</v>
      </c>
      <c r="G588" s="204">
        <f t="shared" ref="G588:G594" si="101">IFERROR(F588/D588,0)</f>
        <v>0.3375</v>
      </c>
      <c r="H588" s="204">
        <v>1400.0</v>
      </c>
      <c r="I588" s="204">
        <f t="shared" ref="I588:I594" si="102">IFERROR(G588*H588,0)</f>
        <v>472.5</v>
      </c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</row>
    <row r="589">
      <c r="A589" s="206"/>
      <c r="B589" s="207"/>
      <c r="C589" s="208" t="s">
        <v>85</v>
      </c>
      <c r="D589" s="209">
        <v>1000.0</v>
      </c>
      <c r="E589" s="210" t="s">
        <v>14</v>
      </c>
      <c r="F589" s="209">
        <v>30.0</v>
      </c>
      <c r="G589" s="209">
        <f t="shared" si="101"/>
        <v>0.03</v>
      </c>
      <c r="H589" s="209">
        <v>100.0</v>
      </c>
      <c r="I589" s="209">
        <f t="shared" si="102"/>
        <v>3</v>
      </c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</row>
    <row r="590">
      <c r="A590" s="201"/>
      <c r="B590" s="202"/>
      <c r="C590" s="203" t="s">
        <v>83</v>
      </c>
      <c r="D590" s="204">
        <v>650.0</v>
      </c>
      <c r="E590" s="205" t="s">
        <v>84</v>
      </c>
      <c r="F590" s="204">
        <v>165.0</v>
      </c>
      <c r="G590" s="204">
        <f t="shared" si="101"/>
        <v>0.2538461538</v>
      </c>
      <c r="H590" s="204">
        <v>30.0</v>
      </c>
      <c r="I590" s="204">
        <f t="shared" si="102"/>
        <v>7.615384615</v>
      </c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</row>
    <row r="591">
      <c r="A591" s="206"/>
      <c r="B591" s="207"/>
      <c r="C591" s="208" t="s">
        <v>379</v>
      </c>
      <c r="D591" s="209">
        <v>500.0</v>
      </c>
      <c r="E591" s="210" t="s">
        <v>14</v>
      </c>
      <c r="F591" s="209">
        <v>70.0</v>
      </c>
      <c r="G591" s="209">
        <f t="shared" si="101"/>
        <v>0.14</v>
      </c>
      <c r="H591" s="209">
        <v>30.0</v>
      </c>
      <c r="I591" s="209">
        <f t="shared" si="102"/>
        <v>4.2</v>
      </c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</row>
    <row r="592">
      <c r="A592" s="201"/>
      <c r="B592" s="202"/>
      <c r="C592" s="203" t="s">
        <v>401</v>
      </c>
      <c r="D592" s="204">
        <v>10000.0</v>
      </c>
      <c r="E592" s="205" t="s">
        <v>14</v>
      </c>
      <c r="F592" s="204">
        <v>650.0</v>
      </c>
      <c r="G592" s="204">
        <f t="shared" si="101"/>
        <v>0.065</v>
      </c>
      <c r="H592" s="204">
        <v>400.0</v>
      </c>
      <c r="I592" s="204">
        <f t="shared" si="102"/>
        <v>26</v>
      </c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</row>
    <row r="593">
      <c r="A593" s="206"/>
      <c r="B593" s="207"/>
      <c r="C593" s="208" t="s">
        <v>402</v>
      </c>
      <c r="D593" s="209">
        <v>1000.0</v>
      </c>
      <c r="E593" s="210" t="s">
        <v>14</v>
      </c>
      <c r="F593" s="209">
        <v>24.0</v>
      </c>
      <c r="G593" s="209">
        <f t="shared" si="101"/>
        <v>0.024</v>
      </c>
      <c r="H593" s="209">
        <v>400.0</v>
      </c>
      <c r="I593" s="209">
        <f t="shared" si="102"/>
        <v>9.6</v>
      </c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</row>
    <row r="594">
      <c r="A594" s="201"/>
      <c r="B594" s="202"/>
      <c r="C594" s="203" t="s">
        <v>250</v>
      </c>
      <c r="D594" s="204">
        <v>1000.0</v>
      </c>
      <c r="E594" s="205" t="s">
        <v>14</v>
      </c>
      <c r="F594" s="204">
        <v>200.0</v>
      </c>
      <c r="G594" s="204">
        <f t="shared" si="101"/>
        <v>0.2</v>
      </c>
      <c r="H594" s="204">
        <v>30.0</v>
      </c>
      <c r="I594" s="204">
        <f t="shared" si="102"/>
        <v>6</v>
      </c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</row>
    <row r="595">
      <c r="A595" s="214"/>
      <c r="B595" s="215"/>
      <c r="C595" s="216" t="s">
        <v>225</v>
      </c>
      <c r="D595" s="217"/>
      <c r="E595" s="217"/>
      <c r="F595" s="217"/>
      <c r="G595" s="217"/>
      <c r="H595" s="218"/>
      <c r="I595" s="219">
        <f>SUM(I588:I594)*1.3</f>
        <v>687.59</v>
      </c>
      <c r="J595" s="214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</row>
    <row r="596">
      <c r="A596" s="220"/>
      <c r="B596" s="221"/>
      <c r="C596" s="222" t="s">
        <v>403</v>
      </c>
      <c r="D596" s="217"/>
      <c r="E596" s="217"/>
      <c r="F596" s="217"/>
      <c r="G596" s="217"/>
      <c r="H596" s="218"/>
      <c r="I596" s="223"/>
      <c r="J596" s="224" t="str">
        <f>I595/I596</f>
        <v>#DIV/0!</v>
      </c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</row>
    <row r="597">
      <c r="A597" s="196"/>
      <c r="B597" s="197">
        <v>2.0</v>
      </c>
      <c r="C597" s="198" t="s">
        <v>404</v>
      </c>
      <c r="D597" s="199"/>
      <c r="E597" s="199"/>
      <c r="F597" s="199"/>
      <c r="G597" s="199"/>
      <c r="H597" s="199"/>
      <c r="I597" s="199"/>
      <c r="J597" s="200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</row>
    <row r="598">
      <c r="A598" s="201"/>
      <c r="B598" s="202"/>
      <c r="C598" s="203" t="s">
        <v>405</v>
      </c>
      <c r="D598" s="204">
        <v>4000.0</v>
      </c>
      <c r="E598" s="205" t="s">
        <v>14</v>
      </c>
      <c r="F598" s="204">
        <v>1350.0</v>
      </c>
      <c r="G598" s="204">
        <f t="shared" ref="G598:G605" si="103">IFERROR(F598/D598,0)</f>
        <v>0.3375</v>
      </c>
      <c r="H598" s="204">
        <v>160.0</v>
      </c>
      <c r="I598" s="204">
        <f t="shared" ref="I598:I605" si="104">IFERROR(G598*H598,0)</f>
        <v>54</v>
      </c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</row>
    <row r="599">
      <c r="A599" s="206"/>
      <c r="B599" s="207"/>
      <c r="C599" s="208" t="s">
        <v>250</v>
      </c>
      <c r="D599" s="209">
        <v>1000.0</v>
      </c>
      <c r="E599" s="210" t="s">
        <v>14</v>
      </c>
      <c r="F599" s="209">
        <v>1100.0</v>
      </c>
      <c r="G599" s="209">
        <f t="shared" si="103"/>
        <v>1.1</v>
      </c>
      <c r="H599" s="209">
        <v>25.0</v>
      </c>
      <c r="I599" s="209">
        <f t="shared" si="104"/>
        <v>27.5</v>
      </c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</row>
    <row r="600">
      <c r="A600" s="201"/>
      <c r="B600" s="202"/>
      <c r="C600" s="203" t="s">
        <v>85</v>
      </c>
      <c r="D600" s="204">
        <v>1000.0</v>
      </c>
      <c r="E600" s="205" t="s">
        <v>14</v>
      </c>
      <c r="F600" s="204">
        <v>30.0</v>
      </c>
      <c r="G600" s="204">
        <f t="shared" si="103"/>
        <v>0.03</v>
      </c>
      <c r="H600" s="204">
        <v>35.0</v>
      </c>
      <c r="I600" s="204">
        <f t="shared" si="104"/>
        <v>1.05</v>
      </c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</row>
    <row r="601">
      <c r="A601" s="206"/>
      <c r="B601" s="207"/>
      <c r="C601" s="208" t="s">
        <v>256</v>
      </c>
      <c r="D601" s="209">
        <v>10000.0</v>
      </c>
      <c r="E601" s="210" t="s">
        <v>14</v>
      </c>
      <c r="F601" s="209">
        <v>1300.0</v>
      </c>
      <c r="G601" s="209">
        <f t="shared" si="103"/>
        <v>0.13</v>
      </c>
      <c r="H601" s="209">
        <v>33.0</v>
      </c>
      <c r="I601" s="209">
        <f t="shared" si="104"/>
        <v>4.29</v>
      </c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</row>
    <row r="602">
      <c r="A602" s="201"/>
      <c r="B602" s="202"/>
      <c r="C602" s="203" t="s">
        <v>401</v>
      </c>
      <c r="D602" s="204">
        <v>10000.0</v>
      </c>
      <c r="E602" s="205" t="s">
        <v>14</v>
      </c>
      <c r="F602" s="204">
        <v>650.0</v>
      </c>
      <c r="G602" s="204">
        <f t="shared" si="103"/>
        <v>0.065</v>
      </c>
      <c r="H602" s="204">
        <v>50.0</v>
      </c>
      <c r="I602" s="204">
        <f t="shared" si="104"/>
        <v>3.25</v>
      </c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</row>
    <row r="603">
      <c r="A603" s="206"/>
      <c r="B603" s="207"/>
      <c r="C603" s="208" t="s">
        <v>406</v>
      </c>
      <c r="D603" s="209">
        <v>2300.0</v>
      </c>
      <c r="E603" s="210" t="s">
        <v>84</v>
      </c>
      <c r="F603" s="209">
        <v>153.0</v>
      </c>
      <c r="G603" s="209">
        <f t="shared" si="103"/>
        <v>0.06652173913</v>
      </c>
      <c r="H603" s="209">
        <v>25.0</v>
      </c>
      <c r="I603" s="209">
        <f t="shared" si="104"/>
        <v>1.663043478</v>
      </c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</row>
    <row r="604">
      <c r="A604" s="201"/>
      <c r="B604" s="202"/>
      <c r="C604" s="203" t="s">
        <v>407</v>
      </c>
      <c r="D604" s="204">
        <v>1000.0</v>
      </c>
      <c r="E604" s="205" t="s">
        <v>84</v>
      </c>
      <c r="F604" s="204">
        <v>65.0</v>
      </c>
      <c r="G604" s="204">
        <f t="shared" si="103"/>
        <v>0.065</v>
      </c>
      <c r="H604" s="204">
        <v>33.0</v>
      </c>
      <c r="I604" s="204">
        <f t="shared" si="104"/>
        <v>2.145</v>
      </c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</row>
    <row r="605">
      <c r="A605" s="206"/>
      <c r="B605" s="207"/>
      <c r="C605" s="208" t="s">
        <v>408</v>
      </c>
      <c r="D605" s="209">
        <v>100.0</v>
      </c>
      <c r="E605" s="210" t="s">
        <v>14</v>
      </c>
      <c r="F605" s="209">
        <v>125.0</v>
      </c>
      <c r="G605" s="209">
        <f t="shared" si="103"/>
        <v>1.25</v>
      </c>
      <c r="H605" s="209">
        <v>50.0</v>
      </c>
      <c r="I605" s="209">
        <f t="shared" si="104"/>
        <v>62.5</v>
      </c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</row>
    <row r="606">
      <c r="A606" s="214"/>
      <c r="B606" s="215"/>
      <c r="C606" s="216" t="s">
        <v>225</v>
      </c>
      <c r="D606" s="217"/>
      <c r="E606" s="217"/>
      <c r="F606" s="217"/>
      <c r="G606" s="217"/>
      <c r="H606" s="218"/>
      <c r="I606" s="219">
        <f>SUM(I598:I605)*1.3</f>
        <v>203.3174565</v>
      </c>
      <c r="J606" s="214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</row>
    <row r="607">
      <c r="A607" s="220"/>
      <c r="B607" s="221"/>
      <c r="C607" s="222" t="s">
        <v>409</v>
      </c>
      <c r="D607" s="217"/>
      <c r="E607" s="217"/>
      <c r="F607" s="217"/>
      <c r="G607" s="217"/>
      <c r="H607" s="218"/>
      <c r="I607" s="223"/>
      <c r="J607" s="224" t="str">
        <f>I606/I607</f>
        <v>#DIV/0!</v>
      </c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</row>
    <row r="608">
      <c r="A608" s="196"/>
      <c r="B608" s="197">
        <v>3.0</v>
      </c>
      <c r="C608" s="198" t="s">
        <v>410</v>
      </c>
      <c r="D608" s="199"/>
      <c r="E608" s="199"/>
      <c r="F608" s="199"/>
      <c r="G608" s="199"/>
      <c r="H608" s="199"/>
      <c r="I608" s="199"/>
      <c r="J608" s="200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</row>
    <row r="609">
      <c r="A609" s="201"/>
      <c r="B609" s="202"/>
      <c r="C609" s="203" t="s">
        <v>405</v>
      </c>
      <c r="D609" s="204">
        <v>4000.0</v>
      </c>
      <c r="E609" s="205" t="s">
        <v>14</v>
      </c>
      <c r="F609" s="204">
        <v>1350.0</v>
      </c>
      <c r="G609" s="204">
        <f t="shared" ref="G609:G615" si="105">IFERROR(F609/D609,0)</f>
        <v>0.3375</v>
      </c>
      <c r="H609" s="204">
        <v>160.0</v>
      </c>
      <c r="I609" s="204">
        <f t="shared" ref="I609:I615" si="106">IFERROR(G609*H609,0)</f>
        <v>54</v>
      </c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</row>
    <row r="610">
      <c r="A610" s="206"/>
      <c r="B610" s="207"/>
      <c r="C610" s="208" t="s">
        <v>250</v>
      </c>
      <c r="D610" s="209">
        <v>1000.0</v>
      </c>
      <c r="E610" s="210" t="s">
        <v>14</v>
      </c>
      <c r="F610" s="209">
        <v>1100.0</v>
      </c>
      <c r="G610" s="209">
        <f t="shared" si="105"/>
        <v>1.1</v>
      </c>
      <c r="H610" s="209">
        <v>25.0</v>
      </c>
      <c r="I610" s="209">
        <f t="shared" si="106"/>
        <v>27.5</v>
      </c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</row>
    <row r="611">
      <c r="A611" s="201"/>
      <c r="B611" s="202"/>
      <c r="C611" s="203" t="s">
        <v>85</v>
      </c>
      <c r="D611" s="204">
        <v>1000.0</v>
      </c>
      <c r="E611" s="205" t="s">
        <v>14</v>
      </c>
      <c r="F611" s="204">
        <v>30.0</v>
      </c>
      <c r="G611" s="204">
        <f t="shared" si="105"/>
        <v>0.03</v>
      </c>
      <c r="H611" s="204">
        <v>35.0</v>
      </c>
      <c r="I611" s="204">
        <f t="shared" si="106"/>
        <v>1.05</v>
      </c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</row>
    <row r="612">
      <c r="A612" s="206"/>
      <c r="B612" s="207"/>
      <c r="C612" s="208" t="s">
        <v>256</v>
      </c>
      <c r="D612" s="209">
        <v>10000.0</v>
      </c>
      <c r="E612" s="210" t="s">
        <v>14</v>
      </c>
      <c r="F612" s="209">
        <v>1300.0</v>
      </c>
      <c r="G612" s="209">
        <f t="shared" si="105"/>
        <v>0.13</v>
      </c>
      <c r="H612" s="209">
        <v>33.0</v>
      </c>
      <c r="I612" s="209">
        <f t="shared" si="106"/>
        <v>4.29</v>
      </c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</row>
    <row r="613">
      <c r="A613" s="201"/>
      <c r="B613" s="202"/>
      <c r="C613" s="203" t="s">
        <v>401</v>
      </c>
      <c r="D613" s="204">
        <v>10000.0</v>
      </c>
      <c r="E613" s="205" t="s">
        <v>14</v>
      </c>
      <c r="F613" s="204">
        <v>650.0</v>
      </c>
      <c r="G613" s="204">
        <f t="shared" si="105"/>
        <v>0.065</v>
      </c>
      <c r="H613" s="204">
        <v>50.0</v>
      </c>
      <c r="I613" s="204">
        <f t="shared" si="106"/>
        <v>3.25</v>
      </c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</row>
    <row r="614">
      <c r="A614" s="206"/>
      <c r="B614" s="207"/>
      <c r="C614" s="208" t="s">
        <v>406</v>
      </c>
      <c r="D614" s="209">
        <v>2300.0</v>
      </c>
      <c r="E614" s="210" t="s">
        <v>84</v>
      </c>
      <c r="F614" s="209">
        <v>153.0</v>
      </c>
      <c r="G614" s="209">
        <f t="shared" si="105"/>
        <v>0.06652173913</v>
      </c>
      <c r="H614" s="209">
        <v>25.0</v>
      </c>
      <c r="I614" s="209">
        <f t="shared" si="106"/>
        <v>1.663043478</v>
      </c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</row>
    <row r="615">
      <c r="A615" s="201"/>
      <c r="B615" s="202"/>
      <c r="C615" s="203" t="s">
        <v>407</v>
      </c>
      <c r="D615" s="204">
        <v>1000.0</v>
      </c>
      <c r="E615" s="205" t="s">
        <v>84</v>
      </c>
      <c r="F615" s="204">
        <v>65.0</v>
      </c>
      <c r="G615" s="204">
        <f t="shared" si="105"/>
        <v>0.065</v>
      </c>
      <c r="H615" s="204">
        <v>33.0</v>
      </c>
      <c r="I615" s="204">
        <f t="shared" si="106"/>
        <v>2.145</v>
      </c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</row>
    <row r="616">
      <c r="A616" s="214"/>
      <c r="B616" s="215"/>
      <c r="C616" s="216" t="s">
        <v>225</v>
      </c>
      <c r="D616" s="217"/>
      <c r="E616" s="217"/>
      <c r="F616" s="217"/>
      <c r="G616" s="217"/>
      <c r="H616" s="218"/>
      <c r="I616" s="219">
        <f>SUM(I609:I615)*1.3</f>
        <v>122.0674565</v>
      </c>
      <c r="J616" s="214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</row>
    <row r="617">
      <c r="A617" s="220"/>
      <c r="B617" s="221"/>
      <c r="C617" s="222" t="s">
        <v>411</v>
      </c>
      <c r="D617" s="217"/>
      <c r="E617" s="217"/>
      <c r="F617" s="217"/>
      <c r="G617" s="217"/>
      <c r="H617" s="218"/>
      <c r="I617" s="223"/>
      <c r="J617" s="224" t="str">
        <f>I616/I617</f>
        <v>#DIV/0!</v>
      </c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</row>
    <row r="618">
      <c r="A618" s="196"/>
      <c r="B618" s="197">
        <v>4.0</v>
      </c>
      <c r="C618" s="198" t="s">
        <v>412</v>
      </c>
      <c r="D618" s="199"/>
      <c r="E618" s="199"/>
      <c r="F618" s="199"/>
      <c r="G618" s="199"/>
      <c r="H618" s="199"/>
      <c r="I618" s="199"/>
      <c r="J618" s="200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</row>
    <row r="619">
      <c r="A619" s="201"/>
      <c r="B619" s="202"/>
      <c r="C619" s="203" t="s">
        <v>256</v>
      </c>
      <c r="D619" s="204">
        <v>10000.0</v>
      </c>
      <c r="E619" s="205" t="s">
        <v>14</v>
      </c>
      <c r="F619" s="204">
        <v>1300.0</v>
      </c>
      <c r="G619" s="204">
        <f t="shared" ref="G619:G625" si="107">IFERROR(F619/D619,0)</f>
        <v>0.13</v>
      </c>
      <c r="H619" s="204">
        <v>380.0</v>
      </c>
      <c r="I619" s="204">
        <f t="shared" ref="I619:I625" si="108">IFERROR(G619*H619,0)</f>
        <v>49.4</v>
      </c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</row>
    <row r="620">
      <c r="A620" s="206"/>
      <c r="B620" s="207"/>
      <c r="C620" s="208" t="s">
        <v>271</v>
      </c>
      <c r="D620" s="209">
        <v>1000.0</v>
      </c>
      <c r="E620" s="210" t="s">
        <v>14</v>
      </c>
      <c r="F620" s="209">
        <v>250.0</v>
      </c>
      <c r="G620" s="209">
        <f t="shared" si="107"/>
        <v>0.25</v>
      </c>
      <c r="H620" s="209">
        <v>60.0</v>
      </c>
      <c r="I620" s="209">
        <f t="shared" si="108"/>
        <v>15</v>
      </c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</row>
    <row r="621">
      <c r="A621" s="201"/>
      <c r="B621" s="202"/>
      <c r="C621" s="203" t="s">
        <v>85</v>
      </c>
      <c r="D621" s="204">
        <v>1000.0</v>
      </c>
      <c r="E621" s="205" t="s">
        <v>14</v>
      </c>
      <c r="F621" s="204">
        <v>30.0</v>
      </c>
      <c r="G621" s="204">
        <f t="shared" si="107"/>
        <v>0.03</v>
      </c>
      <c r="H621" s="204">
        <v>200.0</v>
      </c>
      <c r="I621" s="204">
        <f t="shared" si="108"/>
        <v>6</v>
      </c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</row>
    <row r="622">
      <c r="A622" s="206"/>
      <c r="B622" s="207"/>
      <c r="C622" s="208" t="s">
        <v>253</v>
      </c>
      <c r="D622" s="209">
        <v>1000.0</v>
      </c>
      <c r="E622" s="210" t="s">
        <v>14</v>
      </c>
      <c r="F622" s="209">
        <v>110.0</v>
      </c>
      <c r="G622" s="209">
        <f t="shared" si="107"/>
        <v>0.11</v>
      </c>
      <c r="H622" s="209">
        <v>120.0</v>
      </c>
      <c r="I622" s="209">
        <f t="shared" si="108"/>
        <v>13.2</v>
      </c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</row>
    <row r="623">
      <c r="A623" s="201"/>
      <c r="B623" s="202"/>
      <c r="C623" s="203" t="s">
        <v>99</v>
      </c>
      <c r="D623" s="204">
        <v>0.0</v>
      </c>
      <c r="E623" s="205" t="s">
        <v>84</v>
      </c>
      <c r="F623" s="204">
        <v>0.0</v>
      </c>
      <c r="G623" s="204">
        <f t="shared" si="107"/>
        <v>0</v>
      </c>
      <c r="H623" s="204">
        <v>200.0</v>
      </c>
      <c r="I623" s="204">
        <f t="shared" si="108"/>
        <v>0</v>
      </c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</row>
    <row r="624">
      <c r="A624" s="206"/>
      <c r="B624" s="207"/>
      <c r="C624" s="208" t="s">
        <v>413</v>
      </c>
      <c r="D624" s="209">
        <v>1000.0</v>
      </c>
      <c r="E624" s="210" t="s">
        <v>14</v>
      </c>
      <c r="F624" s="209">
        <v>170.0</v>
      </c>
      <c r="G624" s="209">
        <f t="shared" si="107"/>
        <v>0.17</v>
      </c>
      <c r="H624" s="209">
        <v>100.0</v>
      </c>
      <c r="I624" s="209">
        <f t="shared" si="108"/>
        <v>17</v>
      </c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</row>
    <row r="625">
      <c r="A625" s="201"/>
      <c r="B625" s="202"/>
      <c r="C625" s="203" t="s">
        <v>414</v>
      </c>
      <c r="D625" s="204">
        <v>2500.0</v>
      </c>
      <c r="E625" s="205" t="s">
        <v>14</v>
      </c>
      <c r="F625" s="204">
        <v>450.0</v>
      </c>
      <c r="G625" s="204">
        <f t="shared" si="107"/>
        <v>0.18</v>
      </c>
      <c r="H625" s="204">
        <v>30.0</v>
      </c>
      <c r="I625" s="204">
        <f t="shared" si="108"/>
        <v>5.4</v>
      </c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</row>
    <row r="626">
      <c r="A626" s="214"/>
      <c r="B626" s="215"/>
      <c r="C626" s="216" t="s">
        <v>225</v>
      </c>
      <c r="D626" s="217"/>
      <c r="E626" s="217"/>
      <c r="F626" s="217"/>
      <c r="G626" s="217"/>
      <c r="H626" s="218"/>
      <c r="I626" s="219">
        <f>SUM(I619:I625)*1.3</f>
        <v>137.8</v>
      </c>
      <c r="J626" s="214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</row>
    <row r="627">
      <c r="A627" s="220"/>
      <c r="B627" s="221"/>
      <c r="C627" s="222" t="s">
        <v>415</v>
      </c>
      <c r="D627" s="217"/>
      <c r="E627" s="217"/>
      <c r="F627" s="217"/>
      <c r="G627" s="217"/>
      <c r="H627" s="218"/>
      <c r="I627" s="223"/>
      <c r="J627" s="224" t="str">
        <f>I626/I627</f>
        <v>#DIV/0!</v>
      </c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</row>
    <row r="628">
      <c r="A628" s="196"/>
      <c r="B628" s="197">
        <v>5.0</v>
      </c>
      <c r="C628" s="198" t="s">
        <v>68</v>
      </c>
      <c r="D628" s="199"/>
      <c r="E628" s="199"/>
      <c r="F628" s="199"/>
      <c r="G628" s="199"/>
      <c r="H628" s="199"/>
      <c r="I628" s="199"/>
      <c r="J628" s="200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</row>
    <row r="629">
      <c r="A629" s="201"/>
      <c r="B629" s="202"/>
      <c r="C629" s="203" t="s">
        <v>256</v>
      </c>
      <c r="D629" s="204">
        <v>10000.0</v>
      </c>
      <c r="E629" s="205" t="s">
        <v>14</v>
      </c>
      <c r="F629" s="204">
        <v>1300.0</v>
      </c>
      <c r="G629" s="204">
        <f t="shared" ref="G629:G642" si="109">IFERROR(F629/D629,0)</f>
        <v>0.13</v>
      </c>
      <c r="H629" s="204">
        <v>600.0</v>
      </c>
      <c r="I629" s="204">
        <f t="shared" ref="I629:I642" si="110">IFERROR(G629*H629,0)</f>
        <v>78</v>
      </c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</row>
    <row r="630">
      <c r="A630" s="206"/>
      <c r="B630" s="207"/>
      <c r="C630" s="208" t="s">
        <v>401</v>
      </c>
      <c r="D630" s="209">
        <v>10000.0</v>
      </c>
      <c r="E630" s="210" t="s">
        <v>14</v>
      </c>
      <c r="F630" s="209">
        <v>650.0</v>
      </c>
      <c r="G630" s="209">
        <f t="shared" si="109"/>
        <v>0.065</v>
      </c>
      <c r="H630" s="209">
        <v>150.0</v>
      </c>
      <c r="I630" s="209">
        <f t="shared" si="110"/>
        <v>9.75</v>
      </c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</row>
    <row r="631">
      <c r="A631" s="201"/>
      <c r="B631" s="202"/>
      <c r="C631" s="203" t="s">
        <v>83</v>
      </c>
      <c r="D631" s="204">
        <v>660.0</v>
      </c>
      <c r="E631" s="205" t="s">
        <v>84</v>
      </c>
      <c r="F631" s="204">
        <v>165.0</v>
      </c>
      <c r="G631" s="204">
        <f t="shared" si="109"/>
        <v>0.25</v>
      </c>
      <c r="H631" s="204">
        <v>15.0</v>
      </c>
      <c r="I631" s="204">
        <f t="shared" si="110"/>
        <v>3.75</v>
      </c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</row>
    <row r="632">
      <c r="A632" s="206"/>
      <c r="B632" s="207"/>
      <c r="C632" s="208" t="s">
        <v>253</v>
      </c>
      <c r="D632" s="209">
        <v>1000.0</v>
      </c>
      <c r="E632" s="210" t="s">
        <v>14</v>
      </c>
      <c r="F632" s="209">
        <v>110.0</v>
      </c>
      <c r="G632" s="209">
        <f t="shared" si="109"/>
        <v>0.11</v>
      </c>
      <c r="H632" s="209">
        <v>30.0</v>
      </c>
      <c r="I632" s="209">
        <f t="shared" si="110"/>
        <v>3.3</v>
      </c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</row>
    <row r="633">
      <c r="A633" s="201"/>
      <c r="B633" s="202"/>
      <c r="C633" s="203" t="s">
        <v>85</v>
      </c>
      <c r="D633" s="204">
        <v>1000.0</v>
      </c>
      <c r="E633" s="205" t="s">
        <v>14</v>
      </c>
      <c r="F633" s="204">
        <v>30.0</v>
      </c>
      <c r="G633" s="204">
        <f t="shared" si="109"/>
        <v>0.03</v>
      </c>
      <c r="H633" s="204">
        <v>350.0</v>
      </c>
      <c r="I633" s="204">
        <f t="shared" si="110"/>
        <v>10.5</v>
      </c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</row>
    <row r="634">
      <c r="A634" s="206"/>
      <c r="B634" s="207"/>
      <c r="C634" s="208" t="s">
        <v>259</v>
      </c>
      <c r="D634" s="209">
        <v>1000.0</v>
      </c>
      <c r="E634" s="210" t="s">
        <v>14</v>
      </c>
      <c r="F634" s="209">
        <v>250.0</v>
      </c>
      <c r="G634" s="209">
        <f t="shared" si="109"/>
        <v>0.25</v>
      </c>
      <c r="H634" s="209">
        <v>30.0</v>
      </c>
      <c r="I634" s="209">
        <f t="shared" si="110"/>
        <v>7.5</v>
      </c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</row>
    <row r="635">
      <c r="A635" s="201"/>
      <c r="B635" s="202"/>
      <c r="C635" s="203" t="s">
        <v>75</v>
      </c>
      <c r="D635" s="204">
        <v>2500.0</v>
      </c>
      <c r="E635" s="205" t="s">
        <v>14</v>
      </c>
      <c r="F635" s="204">
        <v>450.0</v>
      </c>
      <c r="G635" s="204">
        <f t="shared" si="109"/>
        <v>0.18</v>
      </c>
      <c r="H635" s="204">
        <v>20.0</v>
      </c>
      <c r="I635" s="204">
        <f t="shared" si="110"/>
        <v>3.6</v>
      </c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</row>
    <row r="636">
      <c r="A636" s="206"/>
      <c r="B636" s="207"/>
      <c r="C636" s="208" t="s">
        <v>413</v>
      </c>
      <c r="D636" s="209">
        <v>500.0</v>
      </c>
      <c r="E636" s="210" t="s">
        <v>14</v>
      </c>
      <c r="F636" s="209">
        <v>170.0</v>
      </c>
      <c r="G636" s="209">
        <f t="shared" si="109"/>
        <v>0.34</v>
      </c>
      <c r="H636" s="209">
        <v>0.5</v>
      </c>
      <c r="I636" s="209">
        <f t="shared" si="110"/>
        <v>0.17</v>
      </c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</row>
    <row r="637">
      <c r="A637" s="201"/>
      <c r="B637" s="202"/>
      <c r="C637" s="203" t="s">
        <v>416</v>
      </c>
      <c r="D637" s="204">
        <v>330.0</v>
      </c>
      <c r="E637" s="205" t="s">
        <v>84</v>
      </c>
      <c r="F637" s="204">
        <v>120.0</v>
      </c>
      <c r="G637" s="204">
        <f t="shared" si="109"/>
        <v>0.3636363636</v>
      </c>
      <c r="H637" s="204">
        <v>100.0</v>
      </c>
      <c r="I637" s="204">
        <f t="shared" si="110"/>
        <v>36.36363636</v>
      </c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</row>
    <row r="638">
      <c r="A638" s="206"/>
      <c r="B638" s="207"/>
      <c r="C638" s="208" t="s">
        <v>45</v>
      </c>
      <c r="D638" s="209">
        <v>1000.0</v>
      </c>
      <c r="E638" s="210" t="s">
        <v>14</v>
      </c>
      <c r="F638" s="209">
        <v>110.0</v>
      </c>
      <c r="G638" s="209">
        <f t="shared" si="109"/>
        <v>0.11</v>
      </c>
      <c r="H638" s="209">
        <v>50.0</v>
      </c>
      <c r="I638" s="209">
        <f t="shared" si="110"/>
        <v>5.5</v>
      </c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</row>
    <row r="639">
      <c r="A639" s="201"/>
      <c r="B639" s="202"/>
      <c r="C639" s="203" t="s">
        <v>58</v>
      </c>
      <c r="D639" s="204">
        <v>1000.0</v>
      </c>
      <c r="E639" s="205" t="s">
        <v>14</v>
      </c>
      <c r="F639" s="204">
        <v>29.0</v>
      </c>
      <c r="G639" s="204">
        <f t="shared" si="109"/>
        <v>0.029</v>
      </c>
      <c r="H639" s="204">
        <v>150.0</v>
      </c>
      <c r="I639" s="204">
        <f t="shared" si="110"/>
        <v>4.35</v>
      </c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</row>
    <row r="640">
      <c r="A640" s="206"/>
      <c r="B640" s="207"/>
      <c r="C640" s="208" t="s">
        <v>43</v>
      </c>
      <c r="D640" s="209">
        <v>1000.0</v>
      </c>
      <c r="E640" s="210" t="s">
        <v>14</v>
      </c>
      <c r="F640" s="209">
        <v>87.0</v>
      </c>
      <c r="G640" s="209">
        <f t="shared" si="109"/>
        <v>0.087</v>
      </c>
      <c r="H640" s="209">
        <v>100.0</v>
      </c>
      <c r="I640" s="209">
        <f t="shared" si="110"/>
        <v>8.7</v>
      </c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</row>
    <row r="641">
      <c r="A641" s="201"/>
      <c r="B641" s="202"/>
      <c r="C641" s="203" t="s">
        <v>417</v>
      </c>
      <c r="D641" s="204">
        <v>5.0</v>
      </c>
      <c r="E641" s="205" t="s">
        <v>18</v>
      </c>
      <c r="F641" s="204">
        <v>55.0</v>
      </c>
      <c r="G641" s="204">
        <f t="shared" si="109"/>
        <v>11</v>
      </c>
      <c r="H641" s="204">
        <v>1.0</v>
      </c>
      <c r="I641" s="204">
        <f t="shared" si="110"/>
        <v>11</v>
      </c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</row>
    <row r="642">
      <c r="A642" s="206"/>
      <c r="B642" s="207"/>
      <c r="C642" s="208" t="s">
        <v>379</v>
      </c>
      <c r="D642" s="209">
        <v>500.0</v>
      </c>
      <c r="E642" s="210" t="s">
        <v>14</v>
      </c>
      <c r="F642" s="209">
        <v>67.0</v>
      </c>
      <c r="G642" s="209">
        <f t="shared" si="109"/>
        <v>0.134</v>
      </c>
      <c r="H642" s="209">
        <v>30.0</v>
      </c>
      <c r="I642" s="209">
        <f t="shared" si="110"/>
        <v>4.02</v>
      </c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</row>
    <row r="643">
      <c r="A643" s="214"/>
      <c r="B643" s="215"/>
      <c r="C643" s="216" t="s">
        <v>225</v>
      </c>
      <c r="D643" s="217"/>
      <c r="E643" s="217"/>
      <c r="F643" s="217"/>
      <c r="G643" s="217"/>
      <c r="H643" s="218"/>
      <c r="I643" s="219">
        <f>SUM(I629:I642)*1.3</f>
        <v>242.4547273</v>
      </c>
      <c r="J643" s="214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</row>
    <row r="644">
      <c r="A644" s="220"/>
      <c r="B644" s="221"/>
      <c r="C644" s="222" t="s">
        <v>418</v>
      </c>
      <c r="D644" s="217"/>
      <c r="E644" s="217"/>
      <c r="F644" s="217"/>
      <c r="G644" s="217"/>
      <c r="H644" s="218"/>
      <c r="I644" s="223"/>
      <c r="J644" s="224" t="str">
        <f>I643/I644</f>
        <v>#DIV/0!</v>
      </c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</row>
    <row r="645">
      <c r="A645" s="196"/>
      <c r="B645" s="197">
        <v>6.0</v>
      </c>
      <c r="C645" s="198" t="s">
        <v>419</v>
      </c>
      <c r="D645" s="199"/>
      <c r="E645" s="199"/>
      <c r="F645" s="199"/>
      <c r="G645" s="199"/>
      <c r="H645" s="199"/>
      <c r="I645" s="199"/>
      <c r="J645" s="200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</row>
    <row r="646">
      <c r="A646" s="201"/>
      <c r="B646" s="202"/>
      <c r="C646" s="203" t="s">
        <v>417</v>
      </c>
      <c r="D646" s="204">
        <v>5.0</v>
      </c>
      <c r="E646" s="205" t="s">
        <v>18</v>
      </c>
      <c r="F646" s="204">
        <v>55.0</v>
      </c>
      <c r="G646" s="204">
        <f t="shared" ref="G646:G654" si="111">IFERROR(F646/D646,0)</f>
        <v>11</v>
      </c>
      <c r="H646" s="204">
        <v>1.0</v>
      </c>
      <c r="I646" s="204">
        <f t="shared" ref="I646:I654" si="112">IFERROR(G646*H646,0)</f>
        <v>11</v>
      </c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</row>
    <row r="647">
      <c r="A647" s="206"/>
      <c r="B647" s="207"/>
      <c r="C647" s="208" t="s">
        <v>58</v>
      </c>
      <c r="D647" s="209">
        <v>1000.0</v>
      </c>
      <c r="E647" s="210" t="s">
        <v>14</v>
      </c>
      <c r="F647" s="209">
        <v>29.0</v>
      </c>
      <c r="G647" s="209">
        <f t="shared" si="111"/>
        <v>0.029</v>
      </c>
      <c r="H647" s="209">
        <v>500.0</v>
      </c>
      <c r="I647" s="209">
        <f t="shared" si="112"/>
        <v>14.5</v>
      </c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</row>
    <row r="648">
      <c r="A648" s="201"/>
      <c r="B648" s="202"/>
      <c r="C648" s="203" t="s">
        <v>43</v>
      </c>
      <c r="D648" s="204">
        <v>1000.0</v>
      </c>
      <c r="E648" s="205" t="s">
        <v>14</v>
      </c>
      <c r="F648" s="204">
        <v>87.0</v>
      </c>
      <c r="G648" s="204">
        <f t="shared" si="111"/>
        <v>0.087</v>
      </c>
      <c r="H648" s="204">
        <v>300.0</v>
      </c>
      <c r="I648" s="204">
        <f t="shared" si="112"/>
        <v>26.1</v>
      </c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</row>
    <row r="649">
      <c r="A649" s="206"/>
      <c r="B649" s="207"/>
      <c r="C649" s="208" t="s">
        <v>85</v>
      </c>
      <c r="D649" s="209">
        <v>1000.0</v>
      </c>
      <c r="E649" s="210" t="s">
        <v>14</v>
      </c>
      <c r="F649" s="209">
        <v>30.0</v>
      </c>
      <c r="G649" s="209">
        <f t="shared" si="111"/>
        <v>0.03</v>
      </c>
      <c r="H649" s="209">
        <v>800.0</v>
      </c>
      <c r="I649" s="209">
        <f t="shared" si="112"/>
        <v>24</v>
      </c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</row>
    <row r="650">
      <c r="A650" s="201"/>
      <c r="B650" s="202"/>
      <c r="C650" s="203" t="s">
        <v>253</v>
      </c>
      <c r="D650" s="204">
        <v>1000.0</v>
      </c>
      <c r="E650" s="205" t="s">
        <v>14</v>
      </c>
      <c r="F650" s="204">
        <v>110.0</v>
      </c>
      <c r="G650" s="204">
        <f t="shared" si="111"/>
        <v>0.11</v>
      </c>
      <c r="H650" s="204">
        <v>100.0</v>
      </c>
      <c r="I650" s="204">
        <f t="shared" si="112"/>
        <v>11</v>
      </c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</row>
    <row r="651">
      <c r="A651" s="206"/>
      <c r="B651" s="207"/>
      <c r="C651" s="208" t="s">
        <v>99</v>
      </c>
      <c r="D651" s="209">
        <v>0.0</v>
      </c>
      <c r="E651" s="210" t="s">
        <v>14</v>
      </c>
      <c r="F651" s="209">
        <v>0.0</v>
      </c>
      <c r="G651" s="209">
        <f t="shared" si="111"/>
        <v>0</v>
      </c>
      <c r="H651" s="209">
        <v>0.0</v>
      </c>
      <c r="I651" s="209">
        <f t="shared" si="112"/>
        <v>0</v>
      </c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</row>
    <row r="652">
      <c r="A652" s="201"/>
      <c r="B652" s="202"/>
      <c r="C652" s="203" t="s">
        <v>259</v>
      </c>
      <c r="D652" s="204">
        <v>1000.0</v>
      </c>
      <c r="E652" s="205" t="s">
        <v>14</v>
      </c>
      <c r="F652" s="204">
        <v>250.0</v>
      </c>
      <c r="G652" s="204">
        <f t="shared" si="111"/>
        <v>0.25</v>
      </c>
      <c r="H652" s="204">
        <v>200.0</v>
      </c>
      <c r="I652" s="204">
        <f t="shared" si="112"/>
        <v>50</v>
      </c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</row>
    <row r="653">
      <c r="A653" s="206"/>
      <c r="B653" s="207"/>
      <c r="C653" s="208" t="s">
        <v>400</v>
      </c>
      <c r="D653" s="209">
        <v>4000.0</v>
      </c>
      <c r="E653" s="210" t="s">
        <v>14</v>
      </c>
      <c r="F653" s="209">
        <v>1350.0</v>
      </c>
      <c r="G653" s="209">
        <f t="shared" si="111"/>
        <v>0.3375</v>
      </c>
      <c r="H653" s="209">
        <v>1200.0</v>
      </c>
      <c r="I653" s="209">
        <f t="shared" si="112"/>
        <v>405</v>
      </c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</row>
    <row r="654">
      <c r="A654" s="201"/>
      <c r="B654" s="202"/>
      <c r="C654" s="203" t="s">
        <v>401</v>
      </c>
      <c r="D654" s="204">
        <v>10000.0</v>
      </c>
      <c r="E654" s="205" t="s">
        <v>14</v>
      </c>
      <c r="F654" s="204">
        <v>650.0</v>
      </c>
      <c r="G654" s="204">
        <f t="shared" si="111"/>
        <v>0.065</v>
      </c>
      <c r="H654" s="204">
        <v>700.0</v>
      </c>
      <c r="I654" s="204">
        <f t="shared" si="112"/>
        <v>45.5</v>
      </c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</row>
    <row r="655">
      <c r="A655" s="214"/>
      <c r="B655" s="215"/>
      <c r="C655" s="216" t="s">
        <v>225</v>
      </c>
      <c r="D655" s="217"/>
      <c r="E655" s="217"/>
      <c r="F655" s="217"/>
      <c r="G655" s="217"/>
      <c r="H655" s="218"/>
      <c r="I655" s="219">
        <f>SUM(I646:I654)*1.3</f>
        <v>763.23</v>
      </c>
      <c r="J655" s="214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</row>
    <row r="656">
      <c r="A656" s="220"/>
      <c r="B656" s="221"/>
      <c r="C656" s="222" t="s">
        <v>420</v>
      </c>
      <c r="D656" s="217"/>
      <c r="E656" s="217"/>
      <c r="F656" s="217"/>
      <c r="G656" s="217"/>
      <c r="H656" s="218"/>
      <c r="I656" s="223"/>
      <c r="J656" s="224" t="str">
        <f>I655/I656</f>
        <v>#DIV/0!</v>
      </c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</row>
    <row r="657">
      <c r="A657" s="189"/>
      <c r="B657" s="190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</row>
    <row r="658">
      <c r="A658" s="272" t="s">
        <v>421</v>
      </c>
      <c r="B658" s="187"/>
      <c r="C658" s="187"/>
      <c r="D658" s="187"/>
      <c r="E658" s="187"/>
      <c r="F658" s="187"/>
      <c r="G658" s="187"/>
      <c r="H658" s="187"/>
      <c r="I658" s="187"/>
      <c r="J658" s="188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</row>
    <row r="659">
      <c r="A659" s="192"/>
      <c r="B659" s="193" t="s">
        <v>214</v>
      </c>
      <c r="C659" s="194" t="s">
        <v>105</v>
      </c>
      <c r="D659" s="194" t="s">
        <v>215</v>
      </c>
      <c r="E659" s="194" t="s">
        <v>274</v>
      </c>
      <c r="F659" s="194" t="s">
        <v>4</v>
      </c>
      <c r="G659" s="194" t="s">
        <v>275</v>
      </c>
      <c r="H659" s="194" t="s">
        <v>276</v>
      </c>
      <c r="I659" s="194" t="s">
        <v>219</v>
      </c>
      <c r="J659" s="194" t="s">
        <v>422</v>
      </c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</row>
    <row r="660">
      <c r="A660" s="196"/>
      <c r="B660" s="197">
        <v>1.0</v>
      </c>
      <c r="C660" s="227" t="s">
        <v>423</v>
      </c>
      <c r="D660" s="199"/>
      <c r="E660" s="199"/>
      <c r="F660" s="199"/>
      <c r="G660" s="199"/>
      <c r="H660" s="199"/>
      <c r="I660" s="199"/>
      <c r="J660" s="200"/>
      <c r="K660" s="243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</row>
    <row r="661">
      <c r="A661" s="201"/>
      <c r="B661" s="202"/>
      <c r="C661" s="203" t="s">
        <v>424</v>
      </c>
      <c r="D661" s="204">
        <v>1000.0</v>
      </c>
      <c r="E661" s="205" t="s">
        <v>14</v>
      </c>
      <c r="F661" s="204">
        <v>100.0</v>
      </c>
      <c r="G661" s="204">
        <f t="shared" ref="G661:G673" si="113">IFERROR(F661/D661,0)</f>
        <v>0.1</v>
      </c>
      <c r="H661" s="204">
        <v>200.0</v>
      </c>
      <c r="I661" s="204">
        <f t="shared" ref="I661:I673" si="114">IFERROR(G661*H661,0)</f>
        <v>20</v>
      </c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</row>
    <row r="662">
      <c r="A662" s="206"/>
      <c r="B662" s="207"/>
      <c r="C662" s="208" t="s">
        <v>59</v>
      </c>
      <c r="D662" s="209">
        <v>1000.0</v>
      </c>
      <c r="E662" s="210" t="s">
        <v>14</v>
      </c>
      <c r="F662" s="212">
        <v>80.0</v>
      </c>
      <c r="G662" s="209">
        <f t="shared" si="113"/>
        <v>0.08</v>
      </c>
      <c r="H662" s="212">
        <v>10.0</v>
      </c>
      <c r="I662" s="209">
        <f t="shared" si="114"/>
        <v>0.8</v>
      </c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</row>
    <row r="663">
      <c r="A663" s="201"/>
      <c r="B663" s="202"/>
      <c r="C663" s="203" t="s">
        <v>46</v>
      </c>
      <c r="D663" s="204">
        <v>1000.0</v>
      </c>
      <c r="E663" s="205" t="s">
        <v>14</v>
      </c>
      <c r="F663" s="225">
        <v>80.0</v>
      </c>
      <c r="G663" s="204">
        <f t="shared" si="113"/>
        <v>0.08</v>
      </c>
      <c r="H663" s="225">
        <v>10.0</v>
      </c>
      <c r="I663" s="204">
        <f t="shared" si="114"/>
        <v>0.8</v>
      </c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</row>
    <row r="664">
      <c r="A664" s="206"/>
      <c r="B664" s="207"/>
      <c r="C664" s="208" t="s">
        <v>24</v>
      </c>
      <c r="D664" s="209">
        <v>1000.0</v>
      </c>
      <c r="E664" s="210" t="s">
        <v>14</v>
      </c>
      <c r="F664" s="209">
        <v>192.0</v>
      </c>
      <c r="G664" s="209">
        <f t="shared" si="113"/>
        <v>0.192</v>
      </c>
      <c r="H664" s="209">
        <v>50.0</v>
      </c>
      <c r="I664" s="209">
        <f t="shared" si="114"/>
        <v>9.6</v>
      </c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</row>
    <row r="665">
      <c r="A665" s="201"/>
      <c r="B665" s="202"/>
      <c r="C665" s="203" t="s">
        <v>425</v>
      </c>
      <c r="D665" s="204">
        <v>300.0</v>
      </c>
      <c r="E665" s="205" t="s">
        <v>14</v>
      </c>
      <c r="F665" s="204">
        <v>40.0</v>
      </c>
      <c r="G665" s="204">
        <f t="shared" si="113"/>
        <v>0.1333333333</v>
      </c>
      <c r="H665" s="204">
        <v>40.0</v>
      </c>
      <c r="I665" s="204">
        <f t="shared" si="114"/>
        <v>5.333333333</v>
      </c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</row>
    <row r="666">
      <c r="A666" s="206"/>
      <c r="B666" s="207"/>
      <c r="C666" s="208" t="s">
        <v>80</v>
      </c>
      <c r="D666" s="209">
        <v>1000.0</v>
      </c>
      <c r="E666" s="210" t="s">
        <v>14</v>
      </c>
      <c r="F666" s="209">
        <v>110.0</v>
      </c>
      <c r="G666" s="209">
        <f t="shared" si="113"/>
        <v>0.11</v>
      </c>
      <c r="H666" s="209">
        <v>0.5</v>
      </c>
      <c r="I666" s="209">
        <f t="shared" si="114"/>
        <v>0.055</v>
      </c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</row>
    <row r="667">
      <c r="A667" s="201"/>
      <c r="B667" s="202"/>
      <c r="C667" s="203" t="s">
        <v>69</v>
      </c>
      <c r="D667" s="204">
        <v>1500.0</v>
      </c>
      <c r="E667" s="205" t="s">
        <v>84</v>
      </c>
      <c r="F667" s="204">
        <v>57.0</v>
      </c>
      <c r="G667" s="204">
        <f t="shared" si="113"/>
        <v>0.038</v>
      </c>
      <c r="H667" s="204">
        <v>1.2</v>
      </c>
      <c r="I667" s="204">
        <f t="shared" si="114"/>
        <v>0.0456</v>
      </c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</row>
    <row r="668">
      <c r="A668" s="206"/>
      <c r="B668" s="207"/>
      <c r="C668" s="208" t="s">
        <v>240</v>
      </c>
      <c r="D668" s="209">
        <v>1000.0</v>
      </c>
      <c r="E668" s="210" t="s">
        <v>14</v>
      </c>
      <c r="F668" s="209">
        <v>130.0</v>
      </c>
      <c r="G668" s="209">
        <f t="shared" si="113"/>
        <v>0.13</v>
      </c>
      <c r="H668" s="209">
        <v>1.0</v>
      </c>
      <c r="I668" s="209">
        <f t="shared" si="114"/>
        <v>0.13</v>
      </c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</row>
    <row r="669">
      <c r="A669" s="259"/>
      <c r="B669" s="261"/>
      <c r="C669" s="211" t="s">
        <v>92</v>
      </c>
      <c r="D669" s="212">
        <v>5000.0</v>
      </c>
      <c r="E669" s="213" t="s">
        <v>14</v>
      </c>
      <c r="F669" s="212">
        <v>283.0</v>
      </c>
      <c r="G669" s="209">
        <f t="shared" si="113"/>
        <v>0.0566</v>
      </c>
      <c r="H669" s="212">
        <v>200.0</v>
      </c>
      <c r="I669" s="209">
        <f t="shared" si="114"/>
        <v>11.32</v>
      </c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</row>
    <row r="670">
      <c r="A670" s="259"/>
      <c r="B670" s="260"/>
      <c r="C670" s="211" t="s">
        <v>426</v>
      </c>
      <c r="D670" s="212">
        <v>200.0</v>
      </c>
      <c r="E670" s="213" t="s">
        <v>14</v>
      </c>
      <c r="F670" s="212">
        <v>15.0</v>
      </c>
      <c r="G670" s="209">
        <f t="shared" si="113"/>
        <v>0.075</v>
      </c>
      <c r="H670" s="212">
        <v>5.0</v>
      </c>
      <c r="I670" s="209">
        <f t="shared" si="114"/>
        <v>0.375</v>
      </c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</row>
    <row r="671">
      <c r="A671" s="259"/>
      <c r="B671" s="260" t="s">
        <v>307</v>
      </c>
      <c r="C671" s="211" t="s">
        <v>25</v>
      </c>
      <c r="D671" s="212">
        <v>50.0</v>
      </c>
      <c r="E671" s="213" t="s">
        <v>18</v>
      </c>
      <c r="F671" s="212">
        <v>98.0</v>
      </c>
      <c r="G671" s="209">
        <f t="shared" si="113"/>
        <v>1.96</v>
      </c>
      <c r="H671" s="212">
        <v>2.0</v>
      </c>
      <c r="I671" s="209">
        <f t="shared" si="114"/>
        <v>3.92</v>
      </c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</row>
    <row r="672">
      <c r="A672" s="259"/>
      <c r="B672" s="260" t="s">
        <v>307</v>
      </c>
      <c r="C672" s="211" t="s">
        <v>427</v>
      </c>
      <c r="D672" s="212">
        <v>1000.0</v>
      </c>
      <c r="E672" s="213" t="s">
        <v>14</v>
      </c>
      <c r="F672" s="212">
        <v>71.71</v>
      </c>
      <c r="G672" s="209">
        <f t="shared" si="113"/>
        <v>0.07171</v>
      </c>
      <c r="H672" s="212">
        <v>20.0</v>
      </c>
      <c r="I672" s="209">
        <f t="shared" si="114"/>
        <v>1.4342</v>
      </c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</row>
    <row r="673">
      <c r="A673" s="259"/>
      <c r="B673" s="260" t="s">
        <v>307</v>
      </c>
      <c r="C673" s="211" t="s">
        <v>428</v>
      </c>
      <c r="D673" s="212">
        <v>1000.0</v>
      </c>
      <c r="E673" s="213" t="s">
        <v>14</v>
      </c>
      <c r="F673" s="212">
        <v>45.24</v>
      </c>
      <c r="G673" s="209">
        <f t="shared" si="113"/>
        <v>0.04524</v>
      </c>
      <c r="H673" s="212">
        <v>20.0</v>
      </c>
      <c r="I673" s="209">
        <f t="shared" si="114"/>
        <v>0.9048</v>
      </c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</row>
    <row r="674">
      <c r="A674" s="214"/>
      <c r="B674" s="215"/>
      <c r="C674" s="216" t="s">
        <v>225</v>
      </c>
      <c r="D674" s="217"/>
      <c r="E674" s="217"/>
      <c r="F674" s="217"/>
      <c r="G674" s="217"/>
      <c r="H674" s="218"/>
      <c r="I674" s="219">
        <f>SUM(I661:I673)*1.3</f>
        <v>71.13331333</v>
      </c>
      <c r="J674" s="214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</row>
    <row r="675">
      <c r="A675" s="220"/>
      <c r="B675" s="221"/>
      <c r="C675" s="222" t="s">
        <v>429</v>
      </c>
      <c r="D675" s="217"/>
      <c r="E675" s="217"/>
      <c r="F675" s="217"/>
      <c r="G675" s="217"/>
      <c r="H675" s="218"/>
      <c r="I675" s="226">
        <v>300.0</v>
      </c>
      <c r="J675" s="224">
        <f>I674/I675</f>
        <v>0.2371110444</v>
      </c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</row>
    <row r="676">
      <c r="A676" s="196"/>
      <c r="B676" s="197">
        <v>2.0</v>
      </c>
      <c r="C676" s="198" t="s">
        <v>430</v>
      </c>
      <c r="D676" s="199"/>
      <c r="E676" s="199"/>
      <c r="F676" s="199"/>
      <c r="G676" s="199"/>
      <c r="H676" s="199"/>
      <c r="I676" s="199"/>
      <c r="J676" s="200"/>
      <c r="K676" s="243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</row>
    <row r="677">
      <c r="A677" s="201"/>
      <c r="B677" s="202"/>
      <c r="C677" s="203" t="s">
        <v>59</v>
      </c>
      <c r="D677" s="204">
        <v>1000.0</v>
      </c>
      <c r="E677" s="205" t="s">
        <v>14</v>
      </c>
      <c r="F677" s="225">
        <v>80.0</v>
      </c>
      <c r="G677" s="204">
        <f t="shared" ref="G677:G691" si="115">IFERROR(F677/D677,0)</f>
        <v>0.08</v>
      </c>
      <c r="H677" s="225">
        <v>10.0</v>
      </c>
      <c r="I677" s="204">
        <f t="shared" ref="I677:I691" si="116">IFERROR(G677*H677,0)</f>
        <v>0.8</v>
      </c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</row>
    <row r="678">
      <c r="A678" s="206"/>
      <c r="B678" s="207"/>
      <c r="C678" s="208" t="s">
        <v>46</v>
      </c>
      <c r="D678" s="209">
        <v>1000.0</v>
      </c>
      <c r="E678" s="210" t="s">
        <v>14</v>
      </c>
      <c r="F678" s="212">
        <v>80.0</v>
      </c>
      <c r="G678" s="209">
        <f t="shared" si="115"/>
        <v>0.08</v>
      </c>
      <c r="H678" s="212">
        <v>10.0</v>
      </c>
      <c r="I678" s="209">
        <f t="shared" si="116"/>
        <v>0.8</v>
      </c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</row>
    <row r="679">
      <c r="A679" s="201"/>
      <c r="B679" s="202"/>
      <c r="C679" s="203" t="s">
        <v>375</v>
      </c>
      <c r="D679" s="204">
        <v>1000.0</v>
      </c>
      <c r="E679" s="205" t="s">
        <v>14</v>
      </c>
      <c r="F679" s="225">
        <v>390.0</v>
      </c>
      <c r="G679" s="204">
        <f t="shared" si="115"/>
        <v>0.39</v>
      </c>
      <c r="H679" s="204">
        <v>35.0</v>
      </c>
      <c r="I679" s="204">
        <f t="shared" si="116"/>
        <v>13.65</v>
      </c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</row>
    <row r="680">
      <c r="A680" s="206"/>
      <c r="B680" s="207"/>
      <c r="C680" s="208" t="s">
        <v>425</v>
      </c>
      <c r="D680" s="212">
        <v>10.0</v>
      </c>
      <c r="E680" s="213" t="s">
        <v>352</v>
      </c>
      <c r="F680" s="212">
        <v>76.0</v>
      </c>
      <c r="G680" s="209">
        <f t="shared" si="115"/>
        <v>7.6</v>
      </c>
      <c r="H680" s="212">
        <v>0.5</v>
      </c>
      <c r="I680" s="209">
        <f t="shared" si="116"/>
        <v>3.8</v>
      </c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</row>
    <row r="681">
      <c r="A681" s="201"/>
      <c r="B681" s="202"/>
      <c r="C681" s="203" t="s">
        <v>80</v>
      </c>
      <c r="D681" s="204">
        <v>1000.0</v>
      </c>
      <c r="E681" s="205" t="s">
        <v>14</v>
      </c>
      <c r="F681" s="204">
        <v>110.0</v>
      </c>
      <c r="G681" s="204">
        <f t="shared" si="115"/>
        <v>0.11</v>
      </c>
      <c r="H681" s="204">
        <v>40.0</v>
      </c>
      <c r="I681" s="204">
        <f t="shared" si="116"/>
        <v>4.4</v>
      </c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</row>
    <row r="682">
      <c r="A682" s="206"/>
      <c r="B682" s="207"/>
      <c r="C682" s="208" t="s">
        <v>69</v>
      </c>
      <c r="D682" s="209">
        <v>1500.0</v>
      </c>
      <c r="E682" s="210" t="s">
        <v>84</v>
      </c>
      <c r="F682" s="209">
        <v>57.0</v>
      </c>
      <c r="G682" s="209">
        <f t="shared" si="115"/>
        <v>0.038</v>
      </c>
      <c r="H682" s="209">
        <v>0.5</v>
      </c>
      <c r="I682" s="209">
        <f t="shared" si="116"/>
        <v>0.019</v>
      </c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</row>
    <row r="683">
      <c r="A683" s="201"/>
      <c r="B683" s="202"/>
      <c r="C683" s="203" t="s">
        <v>28</v>
      </c>
      <c r="D683" s="225">
        <v>20.0</v>
      </c>
      <c r="E683" s="244" t="s">
        <v>352</v>
      </c>
      <c r="F683" s="225">
        <v>320.0</v>
      </c>
      <c r="G683" s="209">
        <f t="shared" si="115"/>
        <v>16</v>
      </c>
      <c r="H683" s="225">
        <v>2.0</v>
      </c>
      <c r="I683" s="204">
        <f t="shared" si="116"/>
        <v>32</v>
      </c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</row>
    <row r="684">
      <c r="A684" s="206"/>
      <c r="B684" s="207"/>
      <c r="C684" s="208" t="s">
        <v>30</v>
      </c>
      <c r="D684" s="209">
        <v>1000.0</v>
      </c>
      <c r="E684" s="210" t="s">
        <v>14</v>
      </c>
      <c r="F684" s="209">
        <v>310.0</v>
      </c>
      <c r="G684" s="204">
        <f t="shared" si="115"/>
        <v>0.31</v>
      </c>
      <c r="H684" s="209">
        <v>35.0</v>
      </c>
      <c r="I684" s="209">
        <f t="shared" si="116"/>
        <v>10.85</v>
      </c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</row>
    <row r="685">
      <c r="A685" s="201"/>
      <c r="B685" s="202"/>
      <c r="C685" s="203" t="s">
        <v>52</v>
      </c>
      <c r="D685" s="204">
        <v>1000.0</v>
      </c>
      <c r="E685" s="205" t="s">
        <v>14</v>
      </c>
      <c r="F685" s="204">
        <v>100.0</v>
      </c>
      <c r="G685" s="209">
        <f t="shared" si="115"/>
        <v>0.1</v>
      </c>
      <c r="H685" s="204">
        <v>200.0</v>
      </c>
      <c r="I685" s="204">
        <f t="shared" si="116"/>
        <v>20</v>
      </c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</row>
    <row r="686">
      <c r="A686" s="206"/>
      <c r="B686" s="207"/>
      <c r="C686" s="208" t="s">
        <v>240</v>
      </c>
      <c r="D686" s="209">
        <v>1000.0</v>
      </c>
      <c r="E686" s="210" t="s">
        <v>14</v>
      </c>
      <c r="F686" s="209">
        <v>130.0</v>
      </c>
      <c r="G686" s="204">
        <f t="shared" si="115"/>
        <v>0.13</v>
      </c>
      <c r="H686" s="209">
        <v>1.0</v>
      </c>
      <c r="I686" s="209">
        <f t="shared" si="116"/>
        <v>0.13</v>
      </c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</row>
    <row r="687">
      <c r="A687" s="259"/>
      <c r="B687" s="261"/>
      <c r="C687" s="211" t="s">
        <v>431</v>
      </c>
      <c r="D687" s="212">
        <v>200.0</v>
      </c>
      <c r="E687" s="213" t="s">
        <v>14</v>
      </c>
      <c r="F687" s="212">
        <v>15.0</v>
      </c>
      <c r="G687" s="209">
        <f t="shared" si="115"/>
        <v>0.075</v>
      </c>
      <c r="H687" s="212">
        <v>5.0</v>
      </c>
      <c r="I687" s="204">
        <f t="shared" si="116"/>
        <v>0.375</v>
      </c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</row>
    <row r="688">
      <c r="A688" s="259"/>
      <c r="B688" s="261"/>
      <c r="C688" s="211" t="s">
        <v>92</v>
      </c>
      <c r="D688" s="212">
        <v>5000.0</v>
      </c>
      <c r="E688" s="213" t="s">
        <v>14</v>
      </c>
      <c r="F688" s="212">
        <v>283.0</v>
      </c>
      <c r="G688" s="209">
        <f t="shared" si="115"/>
        <v>0.0566</v>
      </c>
      <c r="H688" s="212">
        <v>200.0</v>
      </c>
      <c r="I688" s="209">
        <f t="shared" si="116"/>
        <v>11.32</v>
      </c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</row>
    <row r="689">
      <c r="A689" s="259"/>
      <c r="B689" s="260" t="s">
        <v>307</v>
      </c>
      <c r="C689" s="211" t="s">
        <v>25</v>
      </c>
      <c r="D689" s="212">
        <v>50.0</v>
      </c>
      <c r="E689" s="213" t="s">
        <v>18</v>
      </c>
      <c r="F689" s="212">
        <v>76.06</v>
      </c>
      <c r="G689" s="204">
        <f t="shared" si="115"/>
        <v>1.5212</v>
      </c>
      <c r="H689" s="212">
        <v>2.0</v>
      </c>
      <c r="I689" s="204">
        <f t="shared" si="116"/>
        <v>3.0424</v>
      </c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</row>
    <row r="690">
      <c r="A690" s="259"/>
      <c r="B690" s="260" t="s">
        <v>307</v>
      </c>
      <c r="C690" s="211" t="s">
        <v>427</v>
      </c>
      <c r="D690" s="212">
        <v>1000.0</v>
      </c>
      <c r="E690" s="213" t="s">
        <v>14</v>
      </c>
      <c r="F690" s="212">
        <v>71.71</v>
      </c>
      <c r="G690" s="209">
        <f t="shared" si="115"/>
        <v>0.07171</v>
      </c>
      <c r="H690" s="212">
        <v>20.0</v>
      </c>
      <c r="I690" s="209">
        <f t="shared" si="116"/>
        <v>1.4342</v>
      </c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</row>
    <row r="691">
      <c r="A691" s="259"/>
      <c r="B691" s="260" t="s">
        <v>307</v>
      </c>
      <c r="C691" s="211" t="s">
        <v>428</v>
      </c>
      <c r="D691" s="212">
        <v>1000.0</v>
      </c>
      <c r="E691" s="213" t="s">
        <v>14</v>
      </c>
      <c r="F691" s="212">
        <v>45.24</v>
      </c>
      <c r="G691" s="204">
        <f t="shared" si="115"/>
        <v>0.04524</v>
      </c>
      <c r="H691" s="212">
        <v>20.0</v>
      </c>
      <c r="I691" s="204">
        <f t="shared" si="116"/>
        <v>0.9048</v>
      </c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</row>
    <row r="692">
      <c r="A692" s="214"/>
      <c r="B692" s="215"/>
      <c r="C692" s="216" t="s">
        <v>225</v>
      </c>
      <c r="D692" s="217"/>
      <c r="E692" s="217"/>
      <c r="F692" s="217"/>
      <c r="G692" s="217"/>
      <c r="H692" s="218"/>
      <c r="I692" s="219">
        <f>SUM(I677:I691)*1.3</f>
        <v>134.58302</v>
      </c>
      <c r="J692" s="214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</row>
    <row r="693">
      <c r="A693" s="220"/>
      <c r="B693" s="221"/>
      <c r="C693" s="222" t="s">
        <v>432</v>
      </c>
      <c r="D693" s="217"/>
      <c r="E693" s="217"/>
      <c r="F693" s="217"/>
      <c r="G693" s="217"/>
      <c r="H693" s="218"/>
      <c r="I693" s="226">
        <v>360.0</v>
      </c>
      <c r="J693" s="224">
        <f>I692/I693</f>
        <v>0.3738417222</v>
      </c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</row>
    <row r="694">
      <c r="A694" s="196"/>
      <c r="B694" s="197">
        <v>3.0</v>
      </c>
      <c r="C694" s="198" t="s">
        <v>433</v>
      </c>
      <c r="D694" s="199"/>
      <c r="E694" s="199"/>
      <c r="F694" s="199"/>
      <c r="G694" s="199"/>
      <c r="H694" s="199"/>
      <c r="I694" s="199"/>
      <c r="J694" s="200"/>
      <c r="K694" s="243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</row>
    <row r="695">
      <c r="A695" s="201"/>
      <c r="B695" s="202"/>
      <c r="C695" s="203" t="s">
        <v>388</v>
      </c>
      <c r="D695" s="204">
        <v>340.0</v>
      </c>
      <c r="E695" s="205" t="s">
        <v>14</v>
      </c>
      <c r="F695" s="204">
        <v>120.0</v>
      </c>
      <c r="G695" s="204">
        <f t="shared" ref="G695:G706" si="117">IFERROR(F695/D695,0)</f>
        <v>0.3529411765</v>
      </c>
      <c r="H695" s="204">
        <v>50.0</v>
      </c>
      <c r="I695" s="204">
        <f t="shared" ref="I695:I706" si="118">IFERROR(G695*H695,0)</f>
        <v>17.64705882</v>
      </c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</row>
    <row r="696">
      <c r="A696" s="206"/>
      <c r="B696" s="207"/>
      <c r="C696" s="208" t="s">
        <v>59</v>
      </c>
      <c r="D696" s="209">
        <v>1000.0</v>
      </c>
      <c r="E696" s="210" t="s">
        <v>14</v>
      </c>
      <c r="F696" s="209">
        <v>100.0</v>
      </c>
      <c r="G696" s="209">
        <f t="shared" si="117"/>
        <v>0.1</v>
      </c>
      <c r="H696" s="209">
        <v>20.0</v>
      </c>
      <c r="I696" s="209">
        <f t="shared" si="118"/>
        <v>2</v>
      </c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</row>
    <row r="697">
      <c r="A697" s="201"/>
      <c r="B697" s="202"/>
      <c r="C697" s="203" t="s">
        <v>46</v>
      </c>
      <c r="D697" s="204">
        <v>1000.0</v>
      </c>
      <c r="E697" s="205" t="s">
        <v>14</v>
      </c>
      <c r="F697" s="204">
        <v>100.0</v>
      </c>
      <c r="G697" s="204">
        <f t="shared" si="117"/>
        <v>0.1</v>
      </c>
      <c r="H697" s="204">
        <v>20.0</v>
      </c>
      <c r="I697" s="204">
        <f t="shared" si="118"/>
        <v>2</v>
      </c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</row>
    <row r="698">
      <c r="A698" s="206"/>
      <c r="B698" s="207"/>
      <c r="C698" s="208" t="s">
        <v>24</v>
      </c>
      <c r="D698" s="209">
        <v>1000.0</v>
      </c>
      <c r="E698" s="210" t="s">
        <v>14</v>
      </c>
      <c r="F698" s="209">
        <v>192.0</v>
      </c>
      <c r="G698" s="209">
        <f t="shared" si="117"/>
        <v>0.192</v>
      </c>
      <c r="H698" s="209">
        <v>50.0</v>
      </c>
      <c r="I698" s="209">
        <f t="shared" si="118"/>
        <v>9.6</v>
      </c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</row>
    <row r="699">
      <c r="A699" s="201"/>
      <c r="B699" s="202"/>
      <c r="C699" s="203" t="s">
        <v>434</v>
      </c>
      <c r="D699" s="204">
        <v>10.0</v>
      </c>
      <c r="E699" s="205" t="s">
        <v>18</v>
      </c>
      <c r="F699" s="204">
        <v>76.0</v>
      </c>
      <c r="G699" s="204">
        <f t="shared" si="117"/>
        <v>7.6</v>
      </c>
      <c r="H699" s="225">
        <v>0.5</v>
      </c>
      <c r="I699" s="209">
        <f t="shared" si="118"/>
        <v>3.8</v>
      </c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</row>
    <row r="700">
      <c r="A700" s="206"/>
      <c r="B700" s="207"/>
      <c r="C700" s="208" t="s">
        <v>80</v>
      </c>
      <c r="D700" s="209">
        <v>1000.0</v>
      </c>
      <c r="E700" s="210" t="s">
        <v>14</v>
      </c>
      <c r="F700" s="209">
        <v>110.0</v>
      </c>
      <c r="G700" s="209">
        <f t="shared" si="117"/>
        <v>0.11</v>
      </c>
      <c r="H700" s="209">
        <v>0.5</v>
      </c>
      <c r="I700" s="204">
        <f t="shared" si="118"/>
        <v>0.055</v>
      </c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</row>
    <row r="701">
      <c r="A701" s="201"/>
      <c r="B701" s="202"/>
      <c r="C701" s="203" t="s">
        <v>69</v>
      </c>
      <c r="D701" s="204">
        <v>1500.0</v>
      </c>
      <c r="E701" s="205" t="s">
        <v>84</v>
      </c>
      <c r="F701" s="204">
        <v>57.0</v>
      </c>
      <c r="G701" s="204">
        <f t="shared" si="117"/>
        <v>0.038</v>
      </c>
      <c r="H701" s="204">
        <v>1.2</v>
      </c>
      <c r="I701" s="209">
        <f t="shared" si="118"/>
        <v>0.0456</v>
      </c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</row>
    <row r="702">
      <c r="A702" s="259"/>
      <c r="B702" s="261"/>
      <c r="C702" s="211" t="s">
        <v>92</v>
      </c>
      <c r="D702" s="212">
        <v>5000.0</v>
      </c>
      <c r="E702" s="213" t="s">
        <v>14</v>
      </c>
      <c r="F702" s="212">
        <v>280.0</v>
      </c>
      <c r="G702" s="204">
        <f t="shared" si="117"/>
        <v>0.056</v>
      </c>
      <c r="H702" s="212">
        <v>200.0</v>
      </c>
      <c r="I702" s="209">
        <f t="shared" si="118"/>
        <v>11.2</v>
      </c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</row>
    <row r="703">
      <c r="A703" s="259"/>
      <c r="B703" s="260"/>
      <c r="C703" s="211" t="s">
        <v>431</v>
      </c>
      <c r="D703" s="212">
        <v>200.0</v>
      </c>
      <c r="E703" s="213" t="s">
        <v>14</v>
      </c>
      <c r="F703" s="212">
        <v>15.0</v>
      </c>
      <c r="G703" s="209">
        <f t="shared" si="117"/>
        <v>0.075</v>
      </c>
      <c r="H703" s="212">
        <v>5.0</v>
      </c>
      <c r="I703" s="204">
        <f t="shared" si="118"/>
        <v>0.375</v>
      </c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</row>
    <row r="704">
      <c r="A704" s="259"/>
      <c r="B704" s="260" t="s">
        <v>307</v>
      </c>
      <c r="C704" s="211" t="s">
        <v>25</v>
      </c>
      <c r="D704" s="212">
        <v>50.0</v>
      </c>
      <c r="E704" s="213" t="s">
        <v>18</v>
      </c>
      <c r="F704" s="212">
        <v>76.06</v>
      </c>
      <c r="G704" s="204">
        <f t="shared" si="117"/>
        <v>1.5212</v>
      </c>
      <c r="H704" s="212">
        <v>2.0</v>
      </c>
      <c r="I704" s="209">
        <f t="shared" si="118"/>
        <v>3.0424</v>
      </c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</row>
    <row r="705">
      <c r="A705" s="259"/>
      <c r="B705" s="260" t="s">
        <v>307</v>
      </c>
      <c r="C705" s="211" t="s">
        <v>427</v>
      </c>
      <c r="D705" s="212">
        <v>1000.0</v>
      </c>
      <c r="E705" s="213" t="s">
        <v>14</v>
      </c>
      <c r="F705" s="212">
        <v>71.71</v>
      </c>
      <c r="G705" s="209">
        <f t="shared" si="117"/>
        <v>0.07171</v>
      </c>
      <c r="H705" s="212">
        <v>20.0</v>
      </c>
      <c r="I705" s="209">
        <f t="shared" si="118"/>
        <v>1.4342</v>
      </c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</row>
    <row r="706">
      <c r="A706" s="259"/>
      <c r="B706" s="260" t="s">
        <v>307</v>
      </c>
      <c r="C706" s="211" t="s">
        <v>428</v>
      </c>
      <c r="D706" s="212">
        <v>1000.0</v>
      </c>
      <c r="E706" s="213" t="s">
        <v>14</v>
      </c>
      <c r="F706" s="212">
        <v>45.24</v>
      </c>
      <c r="G706" s="204">
        <f t="shared" si="117"/>
        <v>0.04524</v>
      </c>
      <c r="H706" s="212">
        <v>20.0</v>
      </c>
      <c r="I706" s="204">
        <f t="shared" si="118"/>
        <v>0.9048</v>
      </c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</row>
    <row r="707">
      <c r="A707" s="214"/>
      <c r="B707" s="215"/>
      <c r="C707" s="216" t="s">
        <v>225</v>
      </c>
      <c r="D707" s="217"/>
      <c r="E707" s="217"/>
      <c r="F707" s="217"/>
      <c r="G707" s="217"/>
      <c r="H707" s="218"/>
      <c r="I707" s="219">
        <f>SUM(I695:I706)*1.3</f>
        <v>67.73527647</v>
      </c>
      <c r="J707" s="214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</row>
    <row r="708">
      <c r="A708" s="220"/>
      <c r="B708" s="221"/>
      <c r="C708" s="222" t="s">
        <v>435</v>
      </c>
      <c r="D708" s="217"/>
      <c r="E708" s="217"/>
      <c r="F708" s="217"/>
      <c r="G708" s="217"/>
      <c r="H708" s="218"/>
      <c r="I708" s="226">
        <v>300.0</v>
      </c>
      <c r="J708" s="224">
        <f>I707/I708</f>
        <v>0.2257842549</v>
      </c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</row>
    <row r="709">
      <c r="A709" s="196"/>
      <c r="B709" s="239">
        <v>4.0</v>
      </c>
      <c r="C709" s="227" t="s">
        <v>436</v>
      </c>
      <c r="D709" s="199"/>
      <c r="E709" s="199"/>
      <c r="F709" s="199"/>
      <c r="G709" s="199"/>
      <c r="H709" s="199"/>
      <c r="I709" s="199"/>
      <c r="J709" s="200"/>
      <c r="K709" s="243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</row>
    <row r="710">
      <c r="A710" s="201"/>
      <c r="B710" s="202"/>
      <c r="C710" s="249" t="s">
        <v>437</v>
      </c>
      <c r="D710" s="225">
        <v>1000.0</v>
      </c>
      <c r="E710" s="244" t="s">
        <v>14</v>
      </c>
      <c r="F710" s="212">
        <v>90.0</v>
      </c>
      <c r="G710" s="209">
        <f t="shared" ref="G710:G716" si="119">IFERROR(F710/D710,0)</f>
        <v>0.09</v>
      </c>
      <c r="H710" s="225">
        <v>20.0</v>
      </c>
      <c r="I710" s="204">
        <f t="shared" ref="I710:I721" si="120">IFERROR(G710*H710,0)</f>
        <v>1.8</v>
      </c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</row>
    <row r="711">
      <c r="A711" s="206"/>
      <c r="B711" s="207"/>
      <c r="C711" s="211" t="s">
        <v>438</v>
      </c>
      <c r="D711" s="212">
        <v>1000.0</v>
      </c>
      <c r="E711" s="213" t="s">
        <v>14</v>
      </c>
      <c r="F711" s="212">
        <v>390.0</v>
      </c>
      <c r="G711" s="209">
        <f t="shared" si="119"/>
        <v>0.39</v>
      </c>
      <c r="H711" s="212">
        <v>30.0</v>
      </c>
      <c r="I711" s="209">
        <f t="shared" si="120"/>
        <v>11.7</v>
      </c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</row>
    <row r="712">
      <c r="A712" s="201"/>
      <c r="B712" s="202"/>
      <c r="C712" s="249" t="s">
        <v>439</v>
      </c>
      <c r="D712" s="225">
        <v>20.0</v>
      </c>
      <c r="E712" s="244" t="s">
        <v>352</v>
      </c>
      <c r="F712" s="225">
        <v>320.0</v>
      </c>
      <c r="G712" s="209">
        <f t="shared" si="119"/>
        <v>16</v>
      </c>
      <c r="H712" s="225">
        <v>2.0</v>
      </c>
      <c r="I712" s="204">
        <f t="shared" si="120"/>
        <v>32</v>
      </c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</row>
    <row r="713">
      <c r="A713" s="206"/>
      <c r="B713" s="207"/>
      <c r="C713" s="211" t="s">
        <v>440</v>
      </c>
      <c r="D713" s="212">
        <v>1000.0</v>
      </c>
      <c r="E713" s="213" t="s">
        <v>14</v>
      </c>
      <c r="F713" s="212">
        <v>310.0</v>
      </c>
      <c r="G713" s="209">
        <f t="shared" si="119"/>
        <v>0.31</v>
      </c>
      <c r="H713" s="212">
        <v>30.0</v>
      </c>
      <c r="I713" s="209">
        <f t="shared" si="120"/>
        <v>9.3</v>
      </c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</row>
    <row r="714">
      <c r="A714" s="201"/>
      <c r="B714" s="202"/>
      <c r="C714" s="249" t="s">
        <v>264</v>
      </c>
      <c r="D714" s="225">
        <v>90.0</v>
      </c>
      <c r="E714" s="244" t="s">
        <v>352</v>
      </c>
      <c r="F714" s="225">
        <v>354.0</v>
      </c>
      <c r="G714" s="209">
        <f t="shared" si="119"/>
        <v>3.933333333</v>
      </c>
      <c r="H714" s="225">
        <v>1.0</v>
      </c>
      <c r="I714" s="204">
        <f t="shared" si="120"/>
        <v>3.933333333</v>
      </c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</row>
    <row r="715">
      <c r="A715" s="206"/>
      <c r="B715" s="207"/>
      <c r="C715" s="211" t="s">
        <v>431</v>
      </c>
      <c r="D715" s="212">
        <v>200.0</v>
      </c>
      <c r="E715" s="213" t="s">
        <v>14</v>
      </c>
      <c r="F715" s="212">
        <v>15.0</v>
      </c>
      <c r="G715" s="209">
        <f t="shared" si="119"/>
        <v>0.075</v>
      </c>
      <c r="H715" s="212">
        <v>10.0</v>
      </c>
      <c r="I715" s="209">
        <f t="shared" si="120"/>
        <v>0.75</v>
      </c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</row>
    <row r="716">
      <c r="A716" s="201"/>
      <c r="B716" s="202"/>
      <c r="C716" s="249" t="s">
        <v>441</v>
      </c>
      <c r="D716" s="225">
        <v>5.0</v>
      </c>
      <c r="E716" s="244" t="s">
        <v>352</v>
      </c>
      <c r="F716" s="225">
        <v>37.0</v>
      </c>
      <c r="G716" s="209">
        <f t="shared" si="119"/>
        <v>7.4</v>
      </c>
      <c r="H716" s="225">
        <v>0.5</v>
      </c>
      <c r="I716" s="204">
        <f t="shared" si="120"/>
        <v>3.7</v>
      </c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</row>
    <row r="717">
      <c r="A717" s="259"/>
      <c r="B717" s="261"/>
      <c r="C717" s="211" t="s">
        <v>442</v>
      </c>
      <c r="D717" s="212"/>
      <c r="E717" s="213"/>
      <c r="F717" s="212"/>
      <c r="G717" s="209"/>
      <c r="H717" s="212">
        <v>100.0</v>
      </c>
      <c r="I717" s="209">
        <f t="shared" si="120"/>
        <v>0</v>
      </c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</row>
    <row r="718">
      <c r="A718" s="259"/>
      <c r="B718" s="260"/>
      <c r="C718" s="211" t="s">
        <v>92</v>
      </c>
      <c r="D718" s="212">
        <v>5000.0</v>
      </c>
      <c r="E718" s="213" t="s">
        <v>14</v>
      </c>
      <c r="F718" s="212">
        <v>280.0</v>
      </c>
      <c r="G718" s="209">
        <f t="shared" ref="G718:G721" si="121">IFERROR(F718/D718,0)</f>
        <v>0.056</v>
      </c>
      <c r="H718" s="212">
        <v>200.0</v>
      </c>
      <c r="I718" s="209">
        <f t="shared" si="120"/>
        <v>11.2</v>
      </c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</row>
    <row r="719">
      <c r="A719" s="259"/>
      <c r="B719" s="260" t="s">
        <v>307</v>
      </c>
      <c r="C719" s="211" t="s">
        <v>25</v>
      </c>
      <c r="D719" s="212">
        <v>50.0</v>
      </c>
      <c r="E719" s="213" t="s">
        <v>18</v>
      </c>
      <c r="F719" s="212">
        <v>76.06</v>
      </c>
      <c r="G719" s="204">
        <f t="shared" si="121"/>
        <v>1.5212</v>
      </c>
      <c r="H719" s="212">
        <v>2.0</v>
      </c>
      <c r="I719" s="209">
        <f t="shared" si="120"/>
        <v>3.0424</v>
      </c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</row>
    <row r="720">
      <c r="A720" s="259"/>
      <c r="B720" s="260" t="s">
        <v>307</v>
      </c>
      <c r="C720" s="211" t="s">
        <v>427</v>
      </c>
      <c r="D720" s="212">
        <v>1000.0</v>
      </c>
      <c r="E720" s="213" t="s">
        <v>14</v>
      </c>
      <c r="F720" s="212">
        <v>71.71</v>
      </c>
      <c r="G720" s="209">
        <f t="shared" si="121"/>
        <v>0.07171</v>
      </c>
      <c r="H720" s="212">
        <v>20.0</v>
      </c>
      <c r="I720" s="209">
        <f t="shared" si="120"/>
        <v>1.4342</v>
      </c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</row>
    <row r="721">
      <c r="A721" s="259"/>
      <c r="B721" s="260" t="s">
        <v>307</v>
      </c>
      <c r="C721" s="211" t="s">
        <v>428</v>
      </c>
      <c r="D721" s="212">
        <v>1000.0</v>
      </c>
      <c r="E721" s="213" t="s">
        <v>14</v>
      </c>
      <c r="F721" s="212">
        <v>45.24</v>
      </c>
      <c r="G721" s="204">
        <f t="shared" si="121"/>
        <v>0.04524</v>
      </c>
      <c r="H721" s="212">
        <v>20.0</v>
      </c>
      <c r="I721" s="204">
        <f t="shared" si="120"/>
        <v>0.9048</v>
      </c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</row>
    <row r="722">
      <c r="A722" s="214"/>
      <c r="B722" s="215"/>
      <c r="C722" s="216" t="s">
        <v>225</v>
      </c>
      <c r="D722" s="217"/>
      <c r="E722" s="217"/>
      <c r="F722" s="217"/>
      <c r="G722" s="217"/>
      <c r="H722" s="218"/>
      <c r="I722" s="219">
        <f>SUM(I710:I721)*1.3</f>
        <v>103.6941533</v>
      </c>
      <c r="J722" s="214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</row>
    <row r="723">
      <c r="A723" s="220"/>
      <c r="B723" s="221"/>
      <c r="C723" s="222" t="s">
        <v>443</v>
      </c>
      <c r="D723" s="217"/>
      <c r="E723" s="217"/>
      <c r="F723" s="217"/>
      <c r="G723" s="217"/>
      <c r="H723" s="218"/>
      <c r="I723" s="226">
        <v>320.0</v>
      </c>
      <c r="J723" s="224">
        <f>I722/I723</f>
        <v>0.3240442292</v>
      </c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</row>
    <row r="724">
      <c r="A724" s="196"/>
      <c r="B724" s="239">
        <v>5.0</v>
      </c>
      <c r="C724" s="227" t="s">
        <v>444</v>
      </c>
      <c r="D724" s="199"/>
      <c r="E724" s="199"/>
      <c r="F724" s="199"/>
      <c r="G724" s="199"/>
      <c r="H724" s="199"/>
      <c r="I724" s="199"/>
      <c r="J724" s="200"/>
      <c r="K724" s="243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</row>
    <row r="725">
      <c r="A725" s="201"/>
      <c r="B725" s="202"/>
      <c r="C725" s="249" t="s">
        <v>437</v>
      </c>
      <c r="D725" s="225">
        <v>1000.0</v>
      </c>
      <c r="E725" s="244" t="s">
        <v>14</v>
      </c>
      <c r="F725" s="212">
        <v>90.0</v>
      </c>
      <c r="G725" s="209">
        <f t="shared" ref="G725:G732" si="122">IFERROR(F725/D725,0)</f>
        <v>0.09</v>
      </c>
      <c r="H725" s="225">
        <v>20.0</v>
      </c>
      <c r="I725" s="204">
        <f t="shared" ref="I725:I737" si="123">IFERROR(G725*H725,0)</f>
        <v>1.8</v>
      </c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</row>
    <row r="726">
      <c r="A726" s="206"/>
      <c r="B726" s="207"/>
      <c r="C726" s="211" t="s">
        <v>438</v>
      </c>
      <c r="D726" s="212">
        <v>1000.0</v>
      </c>
      <c r="E726" s="213" t="s">
        <v>14</v>
      </c>
      <c r="F726" s="212">
        <v>390.0</v>
      </c>
      <c r="G726" s="209">
        <f t="shared" si="122"/>
        <v>0.39</v>
      </c>
      <c r="H726" s="212">
        <v>30.0</v>
      </c>
      <c r="I726" s="209">
        <f t="shared" si="123"/>
        <v>11.7</v>
      </c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</row>
    <row r="727">
      <c r="A727" s="201"/>
      <c r="B727" s="202"/>
      <c r="C727" s="249" t="s">
        <v>439</v>
      </c>
      <c r="D727" s="225">
        <v>20.0</v>
      </c>
      <c r="E727" s="244" t="s">
        <v>352</v>
      </c>
      <c r="F727" s="225">
        <v>320.0</v>
      </c>
      <c r="G727" s="209">
        <f t="shared" si="122"/>
        <v>16</v>
      </c>
      <c r="H727" s="225">
        <v>2.0</v>
      </c>
      <c r="I727" s="204">
        <f t="shared" si="123"/>
        <v>32</v>
      </c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</row>
    <row r="728">
      <c r="A728" s="201"/>
      <c r="B728" s="202"/>
      <c r="C728" s="249" t="s">
        <v>264</v>
      </c>
      <c r="D728" s="225">
        <v>90.0</v>
      </c>
      <c r="E728" s="244" t="s">
        <v>352</v>
      </c>
      <c r="F728" s="225">
        <v>354.0</v>
      </c>
      <c r="G728" s="209">
        <f t="shared" si="122"/>
        <v>3.933333333</v>
      </c>
      <c r="H728" s="225">
        <v>1.0</v>
      </c>
      <c r="I728" s="204">
        <f t="shared" si="123"/>
        <v>3.933333333</v>
      </c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</row>
    <row r="729">
      <c r="A729" s="201"/>
      <c r="B729" s="202"/>
      <c r="C729" s="211" t="s">
        <v>440</v>
      </c>
      <c r="D729" s="212">
        <v>1000.0</v>
      </c>
      <c r="E729" s="213" t="s">
        <v>14</v>
      </c>
      <c r="F729" s="212">
        <v>310.0</v>
      </c>
      <c r="G729" s="209">
        <f t="shared" si="122"/>
        <v>0.31</v>
      </c>
      <c r="H729" s="212">
        <v>30.0</v>
      </c>
      <c r="I729" s="209">
        <f t="shared" si="123"/>
        <v>9.3</v>
      </c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</row>
    <row r="730">
      <c r="A730" s="201"/>
      <c r="B730" s="202"/>
      <c r="C730" s="203" t="s">
        <v>388</v>
      </c>
      <c r="D730" s="204">
        <v>340.0</v>
      </c>
      <c r="E730" s="205" t="s">
        <v>14</v>
      </c>
      <c r="F730" s="204">
        <v>120.0</v>
      </c>
      <c r="G730" s="204">
        <f t="shared" si="122"/>
        <v>0.3529411765</v>
      </c>
      <c r="H730" s="204">
        <v>50.0</v>
      </c>
      <c r="I730" s="204">
        <f t="shared" si="123"/>
        <v>17.64705882</v>
      </c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</row>
    <row r="731">
      <c r="A731" s="206"/>
      <c r="B731" s="207"/>
      <c r="C731" s="211" t="s">
        <v>431</v>
      </c>
      <c r="D731" s="212">
        <v>200.0</v>
      </c>
      <c r="E731" s="213" t="s">
        <v>14</v>
      </c>
      <c r="F731" s="212">
        <v>15.0</v>
      </c>
      <c r="G731" s="209">
        <f t="shared" si="122"/>
        <v>0.075</v>
      </c>
      <c r="H731" s="212">
        <v>10.0</v>
      </c>
      <c r="I731" s="209">
        <f t="shared" si="123"/>
        <v>0.75</v>
      </c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</row>
    <row r="732">
      <c r="A732" s="201"/>
      <c r="B732" s="202"/>
      <c r="C732" s="249" t="s">
        <v>441</v>
      </c>
      <c r="D732" s="225">
        <v>5.0</v>
      </c>
      <c r="E732" s="244" t="s">
        <v>352</v>
      </c>
      <c r="F732" s="225">
        <v>37.0</v>
      </c>
      <c r="G732" s="209">
        <f t="shared" si="122"/>
        <v>7.4</v>
      </c>
      <c r="H732" s="225">
        <v>0.5</v>
      </c>
      <c r="I732" s="204">
        <f t="shared" si="123"/>
        <v>3.7</v>
      </c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</row>
    <row r="733">
      <c r="A733" s="259"/>
      <c r="B733" s="261"/>
      <c r="C733" s="211" t="s">
        <v>442</v>
      </c>
      <c r="D733" s="212"/>
      <c r="E733" s="213"/>
      <c r="F733" s="212"/>
      <c r="G733" s="209"/>
      <c r="H733" s="212">
        <v>100.0</v>
      </c>
      <c r="I733" s="209">
        <f t="shared" si="123"/>
        <v>0</v>
      </c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</row>
    <row r="734">
      <c r="A734" s="259"/>
      <c r="B734" s="260"/>
      <c r="C734" s="211" t="s">
        <v>92</v>
      </c>
      <c r="D734" s="212">
        <v>5000.0</v>
      </c>
      <c r="E734" s="213" t="s">
        <v>14</v>
      </c>
      <c r="F734" s="212">
        <v>280.0</v>
      </c>
      <c r="G734" s="209">
        <f t="shared" ref="G734:G737" si="124">IFERROR(F734/D734,0)</f>
        <v>0.056</v>
      </c>
      <c r="H734" s="212">
        <v>200.0</v>
      </c>
      <c r="I734" s="209">
        <f t="shared" si="123"/>
        <v>11.2</v>
      </c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</row>
    <row r="735">
      <c r="A735" s="259"/>
      <c r="B735" s="260" t="s">
        <v>307</v>
      </c>
      <c r="C735" s="211" t="s">
        <v>25</v>
      </c>
      <c r="D735" s="212">
        <v>50.0</v>
      </c>
      <c r="E735" s="213" t="s">
        <v>18</v>
      </c>
      <c r="F735" s="212">
        <v>76.06</v>
      </c>
      <c r="G735" s="204">
        <f t="shared" si="124"/>
        <v>1.5212</v>
      </c>
      <c r="H735" s="212">
        <v>2.0</v>
      </c>
      <c r="I735" s="209">
        <f t="shared" si="123"/>
        <v>3.0424</v>
      </c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</row>
    <row r="736">
      <c r="A736" s="259"/>
      <c r="B736" s="260" t="s">
        <v>307</v>
      </c>
      <c r="C736" s="211" t="s">
        <v>427</v>
      </c>
      <c r="D736" s="212">
        <v>1000.0</v>
      </c>
      <c r="E736" s="213" t="s">
        <v>14</v>
      </c>
      <c r="F736" s="212">
        <v>71.71</v>
      </c>
      <c r="G736" s="209">
        <f t="shared" si="124"/>
        <v>0.07171</v>
      </c>
      <c r="H736" s="212">
        <v>20.0</v>
      </c>
      <c r="I736" s="209">
        <f t="shared" si="123"/>
        <v>1.4342</v>
      </c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</row>
    <row r="737">
      <c r="A737" s="259"/>
      <c r="B737" s="260" t="s">
        <v>307</v>
      </c>
      <c r="C737" s="211" t="s">
        <v>428</v>
      </c>
      <c r="D737" s="212">
        <v>1000.0</v>
      </c>
      <c r="E737" s="213" t="s">
        <v>14</v>
      </c>
      <c r="F737" s="212">
        <v>45.24</v>
      </c>
      <c r="G737" s="204">
        <f t="shared" si="124"/>
        <v>0.04524</v>
      </c>
      <c r="H737" s="212">
        <v>20.0</v>
      </c>
      <c r="I737" s="204">
        <f t="shared" si="123"/>
        <v>0.9048</v>
      </c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</row>
    <row r="738">
      <c r="A738" s="214"/>
      <c r="B738" s="215"/>
      <c r="C738" s="216" t="s">
        <v>225</v>
      </c>
      <c r="D738" s="217"/>
      <c r="E738" s="217"/>
      <c r="F738" s="217"/>
      <c r="G738" s="217"/>
      <c r="H738" s="218"/>
      <c r="I738" s="219">
        <f>SUM(I725:I737)*1.3</f>
        <v>126.6353298</v>
      </c>
      <c r="J738" s="214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</row>
    <row r="739">
      <c r="A739" s="220"/>
      <c r="B739" s="221"/>
      <c r="C739" s="222" t="s">
        <v>445</v>
      </c>
      <c r="D739" s="217"/>
      <c r="E739" s="217"/>
      <c r="F739" s="217"/>
      <c r="G739" s="217"/>
      <c r="H739" s="218"/>
      <c r="I739" s="226">
        <v>360.0</v>
      </c>
      <c r="J739" s="224">
        <f>I738/I739</f>
        <v>0.351764805</v>
      </c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</row>
    <row r="740">
      <c r="A740" s="189"/>
      <c r="B740" s="190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</row>
    <row r="741">
      <c r="A741" s="273" t="s">
        <v>446</v>
      </c>
      <c r="B741" s="187"/>
      <c r="C741" s="187"/>
      <c r="D741" s="187"/>
      <c r="E741" s="187"/>
      <c r="F741" s="187"/>
      <c r="G741" s="187"/>
      <c r="H741" s="187"/>
      <c r="I741" s="187"/>
      <c r="J741" s="188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</row>
    <row r="742">
      <c r="A742" s="192"/>
      <c r="B742" s="193" t="s">
        <v>214</v>
      </c>
      <c r="C742" s="194" t="s">
        <v>105</v>
      </c>
      <c r="D742" s="194" t="s">
        <v>215</v>
      </c>
      <c r="E742" s="194" t="s">
        <v>274</v>
      </c>
      <c r="F742" s="194" t="s">
        <v>4</v>
      </c>
      <c r="G742" s="194" t="s">
        <v>275</v>
      </c>
      <c r="H742" s="194" t="s">
        <v>276</v>
      </c>
      <c r="I742" s="194" t="s">
        <v>219</v>
      </c>
      <c r="J742" s="194" t="s">
        <v>447</v>
      </c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</row>
    <row r="743">
      <c r="A743" s="189"/>
      <c r="B743" s="274">
        <v>1.0</v>
      </c>
      <c r="C743" s="253" t="s">
        <v>448</v>
      </c>
      <c r="D743" s="275">
        <v>1000.0</v>
      </c>
      <c r="E743" s="275" t="s">
        <v>14</v>
      </c>
      <c r="F743" s="253">
        <v>100.0</v>
      </c>
      <c r="G743" s="204">
        <f>IFERROR(F743/D743,0)</f>
        <v>0.1</v>
      </c>
      <c r="H743" s="253">
        <v>100.0</v>
      </c>
      <c r="I743" s="204">
        <f>IFERROR(G743*H743,0)</f>
        <v>10</v>
      </c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</row>
    <row r="744">
      <c r="A744" s="189"/>
      <c r="B744" s="190"/>
      <c r="C744" s="216"/>
      <c r="D744" s="217"/>
      <c r="E744" s="217"/>
      <c r="F744" s="217"/>
      <c r="G744" s="217"/>
      <c r="H744" s="218"/>
      <c r="I744" s="21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</row>
    <row r="745">
      <c r="A745" s="189"/>
      <c r="B745" s="190"/>
      <c r="C745" s="222"/>
      <c r="D745" s="217"/>
      <c r="E745" s="217"/>
      <c r="F745" s="217"/>
      <c r="G745" s="217"/>
      <c r="H745" s="218"/>
      <c r="I745" s="204"/>
      <c r="J745" s="224" t="str">
        <f>I744/I745</f>
        <v>#DIV/0!</v>
      </c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</row>
    <row r="746">
      <c r="A746" s="189"/>
      <c r="B746" s="190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</row>
    <row r="747">
      <c r="B747" s="276">
        <v>2.0</v>
      </c>
      <c r="C747" s="277" t="s">
        <v>449</v>
      </c>
      <c r="D747" s="276">
        <v>500.0</v>
      </c>
      <c r="E747" s="276" t="s">
        <v>14</v>
      </c>
      <c r="F747" s="277">
        <v>53.47</v>
      </c>
      <c r="G747" s="204">
        <f>IFERROR(F747/D747,0)</f>
        <v>0.10694</v>
      </c>
      <c r="H747" s="277">
        <v>100.0</v>
      </c>
      <c r="I747" s="204">
        <f>IFERROR(G747*H747,0)</f>
        <v>10.694</v>
      </c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</row>
    <row r="748">
      <c r="C748" s="216"/>
      <c r="D748" s="217"/>
      <c r="E748" s="217"/>
      <c r="F748" s="217"/>
      <c r="G748" s="217"/>
      <c r="H748" s="218"/>
      <c r="I748" s="21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</row>
    <row r="749">
      <c r="C749" s="222"/>
      <c r="D749" s="217"/>
      <c r="E749" s="217"/>
      <c r="F749" s="217"/>
      <c r="G749" s="217"/>
      <c r="H749" s="218"/>
      <c r="I749" s="204"/>
      <c r="J749" s="224" t="str">
        <f>I748/I749</f>
        <v>#DIV/0!</v>
      </c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</row>
    <row r="750"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</row>
    <row r="751">
      <c r="B751" s="276">
        <v>3.0</v>
      </c>
      <c r="C751" s="277" t="s">
        <v>450</v>
      </c>
      <c r="D751" s="276">
        <v>1000.0</v>
      </c>
      <c r="E751" s="276" t="s">
        <v>14</v>
      </c>
      <c r="F751" s="277">
        <v>89.61</v>
      </c>
      <c r="G751" s="204">
        <f>IFERROR(F751/D751,0)</f>
        <v>0.08961</v>
      </c>
      <c r="H751" s="277">
        <v>100.0</v>
      </c>
      <c r="I751" s="204">
        <f>IFERROR(G751*H751,0)</f>
        <v>8.961</v>
      </c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</row>
    <row r="752">
      <c r="C752" s="216"/>
      <c r="D752" s="217"/>
      <c r="E752" s="217"/>
      <c r="F752" s="217"/>
      <c r="G752" s="217"/>
      <c r="H752" s="218"/>
      <c r="I752" s="21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</row>
    <row r="753">
      <c r="C753" s="222"/>
      <c r="D753" s="217"/>
      <c r="E753" s="217"/>
      <c r="F753" s="217"/>
      <c r="G753" s="217"/>
      <c r="H753" s="218"/>
      <c r="I753" s="204"/>
      <c r="J753" s="224" t="str">
        <f>I752/I753</f>
        <v>#DIV/0!</v>
      </c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</row>
    <row r="754"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</row>
    <row r="755">
      <c r="B755" s="276">
        <v>4.0</v>
      </c>
      <c r="C755" s="277" t="s">
        <v>451</v>
      </c>
      <c r="D755" s="276">
        <v>500.0</v>
      </c>
      <c r="E755" s="276" t="s">
        <v>14</v>
      </c>
      <c r="F755" s="277">
        <v>67.48</v>
      </c>
      <c r="G755" s="204">
        <f>IFERROR(F755/D755,0)</f>
        <v>0.13496</v>
      </c>
      <c r="H755" s="277">
        <v>100.0</v>
      </c>
      <c r="I755" s="204">
        <f>IFERROR(G755*H755,0)</f>
        <v>13.496</v>
      </c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</row>
    <row r="756">
      <c r="C756" s="216"/>
      <c r="D756" s="217"/>
      <c r="E756" s="217"/>
      <c r="F756" s="217"/>
      <c r="G756" s="217"/>
      <c r="H756" s="218"/>
      <c r="I756" s="21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</row>
    <row r="757">
      <c r="C757" s="222"/>
      <c r="D757" s="217"/>
      <c r="E757" s="217"/>
      <c r="F757" s="217"/>
      <c r="G757" s="217"/>
      <c r="H757" s="218"/>
      <c r="I757" s="204"/>
      <c r="J757" s="224" t="str">
        <f>I756/I757</f>
        <v>#DIV/0!</v>
      </c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</row>
    <row r="758"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</row>
    <row r="759">
      <c r="B759" s="276">
        <v>5.0</v>
      </c>
      <c r="C759" s="277" t="s">
        <v>452</v>
      </c>
      <c r="D759" s="276">
        <v>50.0</v>
      </c>
      <c r="E759" s="276" t="s">
        <v>14</v>
      </c>
      <c r="F759" s="278">
        <v>100.0</v>
      </c>
      <c r="G759" s="204">
        <f>IFERROR(F759/D759,0)</f>
        <v>2</v>
      </c>
      <c r="H759" s="278">
        <v>6.0</v>
      </c>
      <c r="I759" s="204">
        <f>IFERROR(G759*H759,0)</f>
        <v>12</v>
      </c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</row>
    <row r="760">
      <c r="C760" s="216"/>
      <c r="D760" s="217"/>
      <c r="E760" s="217"/>
      <c r="F760" s="217"/>
      <c r="G760" s="217"/>
      <c r="H760" s="218"/>
      <c r="I760" s="21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</row>
    <row r="761">
      <c r="C761" s="222"/>
      <c r="D761" s="217"/>
      <c r="E761" s="217"/>
      <c r="F761" s="217"/>
      <c r="G761" s="217"/>
      <c r="H761" s="218"/>
      <c r="I761" s="204"/>
      <c r="J761" s="224" t="str">
        <f>I760/I761</f>
        <v>#DIV/0!</v>
      </c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</row>
    <row r="762"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</row>
    <row r="763">
      <c r="B763" s="276">
        <v>6.0</v>
      </c>
      <c r="C763" s="277" t="s">
        <v>453</v>
      </c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</row>
    <row r="764">
      <c r="C764" s="216"/>
      <c r="D764" s="217"/>
      <c r="E764" s="217"/>
      <c r="F764" s="217"/>
      <c r="G764" s="217"/>
      <c r="H764" s="218"/>
      <c r="I764" s="21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</row>
    <row r="765">
      <c r="C765" s="222"/>
      <c r="D765" s="217"/>
      <c r="E765" s="217"/>
      <c r="F765" s="217"/>
      <c r="G765" s="217"/>
      <c r="H765" s="218"/>
      <c r="I765" s="204"/>
      <c r="J765" s="224" t="str">
        <f>I764/I765</f>
        <v>#DIV/0!</v>
      </c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</row>
    <row r="766"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</row>
    <row r="767">
      <c r="B767" s="276">
        <v>7.0</v>
      </c>
      <c r="C767" s="277" t="s">
        <v>454</v>
      </c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</row>
    <row r="768">
      <c r="C768" s="216"/>
      <c r="D768" s="217"/>
      <c r="E768" s="217"/>
      <c r="F768" s="217"/>
      <c r="G768" s="217"/>
      <c r="H768" s="218"/>
      <c r="I768" s="21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</row>
    <row r="769">
      <c r="C769" s="222"/>
      <c r="D769" s="217"/>
      <c r="E769" s="217"/>
      <c r="F769" s="217"/>
      <c r="G769" s="217"/>
      <c r="H769" s="218"/>
      <c r="I769" s="204"/>
      <c r="J769" s="224" t="str">
        <f>I768/I769</f>
        <v>#DIV/0!</v>
      </c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</row>
    <row r="770"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</row>
    <row r="771">
      <c r="B771" s="276">
        <v>8.0</v>
      </c>
      <c r="C771" s="277" t="s">
        <v>455</v>
      </c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</row>
    <row r="772">
      <c r="C772" s="216"/>
      <c r="D772" s="217"/>
      <c r="E772" s="217"/>
      <c r="F772" s="217"/>
      <c r="G772" s="217"/>
      <c r="H772" s="218"/>
      <c r="I772" s="21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</row>
    <row r="773">
      <c r="C773" s="222"/>
      <c r="D773" s="217"/>
      <c r="E773" s="217"/>
      <c r="F773" s="217"/>
      <c r="G773" s="217"/>
      <c r="H773" s="218"/>
      <c r="I773" s="204"/>
      <c r="J773" s="224" t="str">
        <f>I772/I773</f>
        <v>#DIV/0!</v>
      </c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</row>
    <row r="774"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</row>
    <row r="775">
      <c r="B775" s="276">
        <v>9.0</v>
      </c>
      <c r="C775" s="277" t="s">
        <v>456</v>
      </c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</row>
    <row r="776">
      <c r="A776" s="189"/>
      <c r="B776" s="190"/>
      <c r="C776" s="216"/>
      <c r="D776" s="217"/>
      <c r="E776" s="217"/>
      <c r="F776" s="217"/>
      <c r="G776" s="217"/>
      <c r="H776" s="218"/>
      <c r="I776" s="219"/>
      <c r="J776" s="224" t="str">
        <f>I775/I776</f>
        <v>#DIV/0!</v>
      </c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</row>
    <row r="777">
      <c r="A777" s="189"/>
      <c r="B777" s="190"/>
      <c r="C777" s="222"/>
      <c r="D777" s="217"/>
      <c r="E777" s="217"/>
      <c r="F777" s="217"/>
      <c r="G777" s="217"/>
      <c r="H777" s="218"/>
      <c r="I777" s="204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</row>
    <row r="778">
      <c r="A778" s="189"/>
      <c r="B778" s="274">
        <v>10.0</v>
      </c>
      <c r="C778" s="253" t="s">
        <v>457</v>
      </c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</row>
    <row r="779">
      <c r="A779" s="189"/>
      <c r="B779" s="190"/>
      <c r="C779" s="216"/>
      <c r="D779" s="217"/>
      <c r="E779" s="217"/>
      <c r="F779" s="217"/>
      <c r="G779" s="217"/>
      <c r="H779" s="218"/>
      <c r="I779" s="21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</row>
    <row r="780">
      <c r="A780" s="189"/>
      <c r="B780" s="190"/>
      <c r="C780" s="222"/>
      <c r="D780" s="217"/>
      <c r="E780" s="217"/>
      <c r="F780" s="217"/>
      <c r="G780" s="217"/>
      <c r="H780" s="218"/>
      <c r="I780" s="204"/>
      <c r="J780" s="224" t="str">
        <f>I779/I780</f>
        <v>#DIV/0!</v>
      </c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</row>
    <row r="781">
      <c r="A781" s="189"/>
      <c r="B781" s="190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</row>
    <row r="782">
      <c r="A782" s="189"/>
      <c r="B782" s="190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</row>
    <row r="783">
      <c r="A783" s="189"/>
      <c r="B783" s="190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</row>
    <row r="784">
      <c r="A784" s="189"/>
      <c r="B784" s="190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</row>
    <row r="785">
      <c r="A785" s="189"/>
      <c r="B785" s="190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</row>
    <row r="786">
      <c r="A786" s="189"/>
      <c r="B786" s="190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</row>
    <row r="787">
      <c r="A787" s="189"/>
      <c r="B787" s="190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</row>
    <row r="788">
      <c r="A788" s="279" t="s">
        <v>458</v>
      </c>
      <c r="B788" s="187"/>
      <c r="C788" s="187"/>
      <c r="D788" s="187"/>
      <c r="E788" s="187"/>
      <c r="F788" s="187"/>
      <c r="G788" s="187"/>
      <c r="H788" s="187"/>
      <c r="I788" s="187"/>
      <c r="J788" s="188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</row>
    <row r="789">
      <c r="A789" s="280"/>
      <c r="B789" s="281" t="s">
        <v>214</v>
      </c>
      <c r="C789" s="282" t="s">
        <v>105</v>
      </c>
      <c r="D789" s="282" t="s">
        <v>215</v>
      </c>
      <c r="E789" s="282" t="s">
        <v>274</v>
      </c>
      <c r="F789" s="282" t="s">
        <v>4</v>
      </c>
      <c r="G789" s="282" t="s">
        <v>275</v>
      </c>
      <c r="H789" s="282" t="s">
        <v>276</v>
      </c>
      <c r="I789" s="282" t="s">
        <v>219</v>
      </c>
      <c r="J789" s="282" t="s">
        <v>459</v>
      </c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</row>
    <row r="790">
      <c r="A790" s="196"/>
      <c r="B790" s="197">
        <v>1.0</v>
      </c>
      <c r="C790" s="198" t="s">
        <v>460</v>
      </c>
      <c r="D790" s="199"/>
      <c r="E790" s="199"/>
      <c r="F790" s="199"/>
      <c r="G790" s="199"/>
      <c r="H790" s="199"/>
      <c r="I790" s="199"/>
      <c r="J790" s="200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</row>
    <row r="791">
      <c r="A791" s="214"/>
      <c r="B791" s="215"/>
      <c r="C791" s="216" t="s">
        <v>225</v>
      </c>
      <c r="D791" s="217"/>
      <c r="E791" s="217"/>
      <c r="F791" s="217"/>
      <c r="G791" s="217"/>
      <c r="H791" s="218"/>
      <c r="I791" s="283"/>
      <c r="J791" s="214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</row>
    <row r="792">
      <c r="A792" s="220"/>
      <c r="B792" s="221"/>
      <c r="C792" s="222" t="s">
        <v>461</v>
      </c>
      <c r="D792" s="217"/>
      <c r="E792" s="217"/>
      <c r="F792" s="217"/>
      <c r="G792" s="217"/>
      <c r="H792" s="218"/>
      <c r="I792" s="223"/>
      <c r="J792" s="220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</row>
    <row r="793">
      <c r="A793" s="196"/>
      <c r="B793" s="197">
        <v>2.0</v>
      </c>
      <c r="C793" s="284" t="s">
        <v>462</v>
      </c>
      <c r="D793" s="285"/>
      <c r="E793" s="285"/>
      <c r="F793" s="285"/>
      <c r="G793" s="285"/>
      <c r="H793" s="285"/>
      <c r="I793" s="285"/>
      <c r="J793" s="286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</row>
    <row r="794">
      <c r="A794" s="214"/>
      <c r="B794" s="215"/>
      <c r="C794" s="216" t="s">
        <v>225</v>
      </c>
      <c r="D794" s="217"/>
      <c r="E794" s="217"/>
      <c r="F794" s="217"/>
      <c r="G794" s="217"/>
      <c r="H794" s="218"/>
      <c r="I794" s="283"/>
      <c r="J794" s="214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</row>
    <row r="795">
      <c r="A795" s="220"/>
      <c r="B795" s="221"/>
      <c r="C795" s="222" t="s">
        <v>463</v>
      </c>
      <c r="D795" s="217"/>
      <c r="E795" s="217"/>
      <c r="F795" s="217"/>
      <c r="G795" s="217"/>
      <c r="H795" s="218"/>
      <c r="I795" s="223"/>
      <c r="J795" s="220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</row>
    <row r="796">
      <c r="A796" s="196"/>
      <c r="B796" s="197">
        <v>3.0</v>
      </c>
      <c r="C796" s="284" t="s">
        <v>464</v>
      </c>
      <c r="D796" s="285"/>
      <c r="E796" s="285"/>
      <c r="F796" s="285"/>
      <c r="G796" s="285"/>
      <c r="H796" s="285"/>
      <c r="I796" s="285"/>
      <c r="J796" s="286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</row>
    <row r="797">
      <c r="A797" s="214"/>
      <c r="B797" s="215"/>
      <c r="C797" s="216" t="s">
        <v>225</v>
      </c>
      <c r="D797" s="217"/>
      <c r="E797" s="217"/>
      <c r="F797" s="217"/>
      <c r="G797" s="217"/>
      <c r="H797" s="218"/>
      <c r="I797" s="283"/>
      <c r="J797" s="214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</row>
    <row r="798">
      <c r="A798" s="220"/>
      <c r="B798" s="221"/>
      <c r="C798" s="222" t="s">
        <v>465</v>
      </c>
      <c r="D798" s="217"/>
      <c r="E798" s="217"/>
      <c r="F798" s="217"/>
      <c r="G798" s="217"/>
      <c r="H798" s="218"/>
      <c r="I798" s="223"/>
      <c r="J798" s="220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</row>
    <row r="799">
      <c r="A799" s="196"/>
      <c r="B799" s="197">
        <v>4.0</v>
      </c>
      <c r="C799" s="284" t="s">
        <v>466</v>
      </c>
      <c r="D799" s="285"/>
      <c r="E799" s="285"/>
      <c r="F799" s="285"/>
      <c r="G799" s="285"/>
      <c r="H799" s="285"/>
      <c r="I799" s="285"/>
      <c r="J799" s="286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</row>
    <row r="800">
      <c r="A800" s="214"/>
      <c r="B800" s="215"/>
      <c r="C800" s="216" t="s">
        <v>225</v>
      </c>
      <c r="D800" s="217"/>
      <c r="E800" s="217"/>
      <c r="F800" s="217"/>
      <c r="G800" s="217"/>
      <c r="H800" s="218"/>
      <c r="I800" s="283"/>
      <c r="J800" s="214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</row>
    <row r="801">
      <c r="A801" s="220"/>
      <c r="B801" s="221"/>
      <c r="C801" s="222" t="s">
        <v>467</v>
      </c>
      <c r="D801" s="217"/>
      <c r="E801" s="217"/>
      <c r="F801" s="217"/>
      <c r="G801" s="217"/>
      <c r="H801" s="218"/>
      <c r="I801" s="223"/>
      <c r="J801" s="220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</row>
    <row r="802">
      <c r="A802" s="196"/>
      <c r="B802" s="197">
        <v>5.0</v>
      </c>
      <c r="C802" s="284" t="s">
        <v>206</v>
      </c>
      <c r="D802" s="285"/>
      <c r="E802" s="285"/>
      <c r="F802" s="285"/>
      <c r="G802" s="285"/>
      <c r="H802" s="285"/>
      <c r="I802" s="285"/>
      <c r="J802" s="286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</row>
    <row r="803">
      <c r="A803" s="214"/>
      <c r="B803" s="215"/>
      <c r="C803" s="216" t="s">
        <v>225</v>
      </c>
      <c r="D803" s="217"/>
      <c r="E803" s="217"/>
      <c r="F803" s="217"/>
      <c r="G803" s="217"/>
      <c r="H803" s="218"/>
      <c r="I803" s="283"/>
      <c r="J803" s="214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</row>
    <row r="804">
      <c r="A804" s="220"/>
      <c r="B804" s="221"/>
      <c r="C804" s="222" t="s">
        <v>468</v>
      </c>
      <c r="D804" s="217"/>
      <c r="E804" s="217"/>
      <c r="F804" s="217"/>
      <c r="G804" s="217"/>
      <c r="H804" s="218"/>
      <c r="I804" s="223"/>
      <c r="J804" s="220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</row>
    <row r="805">
      <c r="A805" s="196"/>
      <c r="B805" s="197">
        <v>6.0</v>
      </c>
      <c r="C805" s="284" t="s">
        <v>469</v>
      </c>
      <c r="D805" s="285"/>
      <c r="E805" s="285"/>
      <c r="F805" s="285"/>
      <c r="G805" s="285"/>
      <c r="H805" s="285"/>
      <c r="I805" s="285"/>
      <c r="J805" s="286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</row>
    <row r="806">
      <c r="A806" s="214"/>
      <c r="B806" s="215"/>
      <c r="C806" s="216" t="s">
        <v>225</v>
      </c>
      <c r="D806" s="217"/>
      <c r="E806" s="217"/>
      <c r="F806" s="217"/>
      <c r="G806" s="217"/>
      <c r="H806" s="218"/>
      <c r="I806" s="283"/>
      <c r="J806" s="214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</row>
    <row r="807">
      <c r="A807" s="220"/>
      <c r="B807" s="221"/>
      <c r="C807" s="222" t="s">
        <v>470</v>
      </c>
      <c r="D807" s="217"/>
      <c r="E807" s="217"/>
      <c r="F807" s="217"/>
      <c r="G807" s="217"/>
      <c r="H807" s="218"/>
      <c r="I807" s="223"/>
      <c r="J807" s="220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</row>
    <row r="808">
      <c r="A808" s="196"/>
      <c r="B808" s="197">
        <v>7.0</v>
      </c>
      <c r="C808" s="284" t="s">
        <v>471</v>
      </c>
      <c r="D808" s="285"/>
      <c r="E808" s="285"/>
      <c r="F808" s="285"/>
      <c r="G808" s="285"/>
      <c r="H808" s="285"/>
      <c r="I808" s="285"/>
      <c r="J808" s="286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</row>
    <row r="809">
      <c r="A809" s="214"/>
      <c r="B809" s="215"/>
      <c r="C809" s="216" t="s">
        <v>225</v>
      </c>
      <c r="D809" s="217"/>
      <c r="E809" s="217"/>
      <c r="F809" s="217"/>
      <c r="G809" s="217"/>
      <c r="H809" s="218"/>
      <c r="I809" s="283"/>
      <c r="J809" s="214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</row>
    <row r="810">
      <c r="A810" s="220"/>
      <c r="B810" s="221"/>
      <c r="C810" s="287" t="s">
        <v>472</v>
      </c>
      <c r="D810" s="288"/>
      <c r="E810" s="288"/>
      <c r="F810" s="288"/>
      <c r="G810" s="288"/>
      <c r="H810" s="289"/>
      <c r="I810" s="290"/>
      <c r="J810" s="291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</row>
    <row r="811">
      <c r="A811" s="196"/>
      <c r="B811" s="197">
        <v>8.0</v>
      </c>
      <c r="C811" s="198" t="s">
        <v>473</v>
      </c>
      <c r="D811" s="199"/>
      <c r="E811" s="199"/>
      <c r="F811" s="199"/>
      <c r="G811" s="199"/>
      <c r="H811" s="199"/>
      <c r="I811" s="199"/>
      <c r="J811" s="200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</row>
    <row r="812">
      <c r="A812" s="214"/>
      <c r="B812" s="215"/>
      <c r="C812" s="216" t="s">
        <v>225</v>
      </c>
      <c r="D812" s="217"/>
      <c r="E812" s="217"/>
      <c r="F812" s="217"/>
      <c r="G812" s="217"/>
      <c r="H812" s="218"/>
      <c r="I812" s="283"/>
      <c r="J812" s="214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</row>
    <row r="813">
      <c r="A813" s="220"/>
      <c r="B813" s="221"/>
      <c r="C813" s="222" t="s">
        <v>474</v>
      </c>
      <c r="D813" s="217"/>
      <c r="E813" s="217"/>
      <c r="F813" s="217"/>
      <c r="G813" s="217"/>
      <c r="H813" s="218"/>
      <c r="I813" s="223"/>
      <c r="J813" s="220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</row>
    <row r="814">
      <c r="A814" s="196"/>
      <c r="B814" s="197">
        <v>9.0</v>
      </c>
      <c r="C814" s="284" t="s">
        <v>475</v>
      </c>
      <c r="D814" s="285"/>
      <c r="E814" s="285"/>
      <c r="F814" s="285"/>
      <c r="G814" s="285"/>
      <c r="H814" s="285"/>
      <c r="I814" s="285"/>
      <c r="J814" s="286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</row>
    <row r="815">
      <c r="A815" s="214"/>
      <c r="B815" s="215"/>
      <c r="C815" s="216" t="s">
        <v>225</v>
      </c>
      <c r="D815" s="217"/>
      <c r="E815" s="217"/>
      <c r="F815" s="217"/>
      <c r="G815" s="217"/>
      <c r="H815" s="218"/>
      <c r="I815" s="283"/>
      <c r="J815" s="214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</row>
    <row r="816">
      <c r="A816" s="220"/>
      <c r="B816" s="221"/>
      <c r="C816" s="222" t="s">
        <v>476</v>
      </c>
      <c r="D816" s="217"/>
      <c r="E816" s="217"/>
      <c r="F816" s="217"/>
      <c r="G816" s="217"/>
      <c r="H816" s="218"/>
      <c r="I816" s="223"/>
      <c r="J816" s="220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</row>
    <row r="817">
      <c r="A817" s="189"/>
      <c r="B817" s="190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</row>
    <row r="818">
      <c r="A818" s="189"/>
      <c r="B818" s="190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</row>
    <row r="819">
      <c r="A819" s="189"/>
      <c r="B819" s="190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</row>
    <row r="820">
      <c r="A820" s="189"/>
      <c r="B820" s="190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</row>
    <row r="821">
      <c r="A821" s="189"/>
      <c r="B821" s="190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</row>
    <row r="822">
      <c r="A822" s="189"/>
      <c r="B822" s="190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</row>
    <row r="823">
      <c r="A823" s="189"/>
      <c r="B823" s="190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</row>
    <row r="824">
      <c r="A824" s="189"/>
      <c r="B824" s="190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</row>
    <row r="825">
      <c r="A825" s="189"/>
      <c r="B825" s="190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</row>
    <row r="826">
      <c r="A826" s="189"/>
      <c r="B826" s="190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</row>
    <row r="827">
      <c r="A827" s="189"/>
      <c r="B827" s="190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</row>
    <row r="828">
      <c r="A828" s="189"/>
      <c r="B828" s="190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</row>
    <row r="829">
      <c r="A829" s="189"/>
      <c r="B829" s="190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</row>
    <row r="830">
      <c r="A830" s="189"/>
      <c r="B830" s="190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</row>
    <row r="831">
      <c r="A831" s="189"/>
      <c r="B831" s="190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</row>
    <row r="832">
      <c r="A832" s="189"/>
      <c r="B832" s="190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</row>
    <row r="833">
      <c r="A833" s="189"/>
      <c r="B833" s="190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</row>
    <row r="834">
      <c r="A834" s="189"/>
      <c r="B834" s="190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</row>
    <row r="835">
      <c r="A835" s="189"/>
      <c r="B835" s="190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</row>
    <row r="836">
      <c r="A836" s="189"/>
      <c r="B836" s="190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</row>
    <row r="837">
      <c r="A837" s="189"/>
      <c r="B837" s="190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</row>
    <row r="838">
      <c r="A838" s="189"/>
      <c r="B838" s="190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</row>
    <row r="839">
      <c r="A839" s="189"/>
      <c r="B839" s="190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</row>
    <row r="840">
      <c r="A840" s="189"/>
      <c r="B840" s="190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</row>
    <row r="841">
      <c r="A841" s="189"/>
      <c r="B841" s="190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</row>
    <row r="842">
      <c r="A842" s="189"/>
      <c r="B842" s="190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</row>
    <row r="843">
      <c r="A843" s="189"/>
      <c r="B843" s="190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</row>
    <row r="844">
      <c r="A844" s="189"/>
      <c r="B844" s="190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</row>
    <row r="845">
      <c r="A845" s="189"/>
      <c r="B845" s="190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</row>
    <row r="846">
      <c r="A846" s="189"/>
      <c r="B846" s="190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</row>
    <row r="847">
      <c r="A847" s="189"/>
      <c r="B847" s="190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</row>
    <row r="848">
      <c r="A848" s="189"/>
      <c r="B848" s="190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</row>
    <row r="849">
      <c r="A849" s="189"/>
      <c r="B849" s="190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</row>
    <row r="850">
      <c r="A850" s="189"/>
      <c r="B850" s="190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</row>
    <row r="851">
      <c r="A851" s="189"/>
      <c r="B851" s="190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</row>
    <row r="852">
      <c r="A852" s="189"/>
      <c r="B852" s="190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</row>
    <row r="853">
      <c r="A853" s="189"/>
      <c r="B853" s="190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</row>
    <row r="854">
      <c r="A854" s="189"/>
      <c r="B854" s="190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</row>
    <row r="855">
      <c r="A855" s="189"/>
      <c r="B855" s="190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</row>
    <row r="856">
      <c r="A856" s="189"/>
      <c r="B856" s="190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</row>
    <row r="857">
      <c r="A857" s="189"/>
      <c r="B857" s="190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</row>
    <row r="858">
      <c r="A858" s="189"/>
      <c r="B858" s="190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</row>
    <row r="859">
      <c r="A859" s="189"/>
      <c r="B859" s="190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</row>
    <row r="860">
      <c r="A860" s="189"/>
      <c r="B860" s="190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</row>
    <row r="861">
      <c r="A861" s="189"/>
      <c r="B861" s="190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</row>
    <row r="862">
      <c r="A862" s="189"/>
      <c r="B862" s="190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</row>
    <row r="863">
      <c r="A863" s="189"/>
      <c r="B863" s="190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</row>
    <row r="864">
      <c r="A864" s="189"/>
      <c r="B864" s="190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</row>
    <row r="865">
      <c r="A865" s="189"/>
      <c r="B865" s="190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</row>
    <row r="866">
      <c r="A866" s="189"/>
      <c r="B866" s="190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</row>
    <row r="867">
      <c r="A867" s="189"/>
      <c r="B867" s="190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</row>
    <row r="868">
      <c r="A868" s="189"/>
      <c r="B868" s="190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</row>
    <row r="869">
      <c r="A869" s="189"/>
      <c r="B869" s="190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</row>
    <row r="870">
      <c r="A870" s="189"/>
      <c r="B870" s="190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</row>
    <row r="871">
      <c r="A871" s="189"/>
      <c r="B871" s="190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</row>
    <row r="872">
      <c r="A872" s="189"/>
      <c r="B872" s="190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</row>
    <row r="873">
      <c r="A873" s="189"/>
      <c r="B873" s="190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</row>
    <row r="874">
      <c r="A874" s="189"/>
      <c r="B874" s="190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</row>
    <row r="875">
      <c r="A875" s="189"/>
      <c r="B875" s="190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</row>
    <row r="876">
      <c r="A876" s="189"/>
      <c r="B876" s="190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</row>
    <row r="877">
      <c r="A877" s="189"/>
      <c r="B877" s="190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</row>
    <row r="878">
      <c r="A878" s="189"/>
      <c r="B878" s="190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</row>
    <row r="879">
      <c r="A879" s="189"/>
      <c r="B879" s="190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</row>
    <row r="880">
      <c r="A880" s="189"/>
      <c r="B880" s="190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</row>
    <row r="881">
      <c r="A881" s="189"/>
      <c r="B881" s="190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</row>
    <row r="882">
      <c r="A882" s="189"/>
      <c r="B882" s="190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</row>
    <row r="883">
      <c r="A883" s="189"/>
      <c r="B883" s="190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</row>
    <row r="884">
      <c r="A884" s="189"/>
      <c r="B884" s="190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</row>
    <row r="885">
      <c r="A885" s="189"/>
      <c r="B885" s="190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</row>
    <row r="886">
      <c r="A886" s="189"/>
      <c r="B886" s="190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</row>
    <row r="887">
      <c r="A887" s="189"/>
      <c r="B887" s="190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</row>
    <row r="888">
      <c r="A888" s="189"/>
      <c r="B888" s="190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</row>
    <row r="889">
      <c r="A889" s="189"/>
      <c r="B889" s="190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</row>
    <row r="890">
      <c r="A890" s="189"/>
      <c r="B890" s="190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</row>
    <row r="891">
      <c r="A891" s="189"/>
      <c r="B891" s="190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</row>
    <row r="892">
      <c r="A892" s="189"/>
      <c r="B892" s="190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</row>
    <row r="893">
      <c r="A893" s="189"/>
      <c r="B893" s="190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</row>
    <row r="894">
      <c r="A894" s="189"/>
      <c r="B894" s="190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</row>
    <row r="895">
      <c r="A895" s="189"/>
      <c r="B895" s="190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</row>
    <row r="896">
      <c r="A896" s="189"/>
      <c r="B896" s="190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</row>
    <row r="897">
      <c r="A897" s="189"/>
      <c r="B897" s="190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</row>
    <row r="898">
      <c r="A898" s="189"/>
      <c r="B898" s="190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</row>
    <row r="899">
      <c r="A899" s="189"/>
      <c r="B899" s="190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</row>
    <row r="900">
      <c r="A900" s="189"/>
      <c r="B900" s="190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</row>
    <row r="901">
      <c r="A901" s="189"/>
      <c r="B901" s="190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</row>
    <row r="902">
      <c r="A902" s="189"/>
      <c r="B902" s="190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</row>
    <row r="903">
      <c r="A903" s="189"/>
      <c r="B903" s="190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</row>
    <row r="904">
      <c r="A904" s="189"/>
      <c r="B904" s="190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</row>
    <row r="905">
      <c r="A905" s="189"/>
      <c r="B905" s="190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</row>
    <row r="906">
      <c r="A906" s="189"/>
      <c r="B906" s="190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</row>
    <row r="907">
      <c r="A907" s="189"/>
      <c r="B907" s="190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</row>
    <row r="908">
      <c r="A908" s="189"/>
      <c r="B908" s="190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</row>
    <row r="909">
      <c r="A909" s="189"/>
      <c r="B909" s="190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</row>
    <row r="910">
      <c r="A910" s="189"/>
      <c r="B910" s="190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</row>
    <row r="911">
      <c r="A911" s="189"/>
      <c r="B911" s="190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</row>
    <row r="912">
      <c r="A912" s="189"/>
      <c r="B912" s="190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</row>
    <row r="913">
      <c r="A913" s="189"/>
      <c r="B913" s="190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</row>
    <row r="914">
      <c r="A914" s="189"/>
      <c r="B914" s="190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</row>
    <row r="915">
      <c r="A915" s="189"/>
      <c r="B915" s="190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</row>
    <row r="916">
      <c r="A916" s="189"/>
      <c r="B916" s="190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</row>
    <row r="917">
      <c r="A917" s="189"/>
      <c r="B917" s="190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</row>
    <row r="918">
      <c r="A918" s="189"/>
      <c r="B918" s="190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</row>
    <row r="919">
      <c r="A919" s="189"/>
      <c r="B919" s="190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</row>
    <row r="920">
      <c r="A920" s="189"/>
      <c r="B920" s="190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</row>
    <row r="921">
      <c r="A921" s="189"/>
      <c r="B921" s="190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</row>
    <row r="922">
      <c r="A922" s="189"/>
      <c r="B922" s="190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</row>
    <row r="923">
      <c r="A923" s="189"/>
      <c r="B923" s="190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</row>
    <row r="924">
      <c r="A924" s="189"/>
      <c r="B924" s="190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</row>
    <row r="925">
      <c r="A925" s="189"/>
      <c r="B925" s="190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</row>
    <row r="926">
      <c r="A926" s="189"/>
      <c r="B926" s="190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</row>
    <row r="927">
      <c r="A927" s="189"/>
      <c r="B927" s="190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</row>
    <row r="928">
      <c r="A928" s="189"/>
      <c r="B928" s="190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</row>
    <row r="929">
      <c r="A929" s="189"/>
      <c r="B929" s="190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</row>
    <row r="930">
      <c r="A930" s="189"/>
      <c r="B930" s="190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</row>
    <row r="931">
      <c r="A931" s="189"/>
      <c r="B931" s="190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</row>
    <row r="932">
      <c r="A932" s="189"/>
      <c r="B932" s="190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</row>
    <row r="933">
      <c r="A933" s="189"/>
      <c r="B933" s="190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</row>
    <row r="934">
      <c r="A934" s="189"/>
      <c r="B934" s="190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</row>
    <row r="935">
      <c r="A935" s="189"/>
      <c r="B935" s="190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</row>
    <row r="936">
      <c r="A936" s="189"/>
      <c r="B936" s="190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</row>
    <row r="937">
      <c r="A937" s="189"/>
      <c r="B937" s="190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</row>
    <row r="938">
      <c r="A938" s="189"/>
      <c r="B938" s="190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</row>
    <row r="939">
      <c r="A939" s="189"/>
      <c r="B939" s="190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</row>
    <row r="940">
      <c r="A940" s="189"/>
      <c r="B940" s="190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</row>
    <row r="941">
      <c r="A941" s="189"/>
      <c r="B941" s="190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</row>
    <row r="942">
      <c r="A942" s="189"/>
      <c r="B942" s="190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</row>
    <row r="943">
      <c r="A943" s="189"/>
      <c r="B943" s="190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</row>
    <row r="944">
      <c r="A944" s="189"/>
      <c r="B944" s="190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</row>
    <row r="945">
      <c r="A945" s="189"/>
      <c r="B945" s="190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</row>
    <row r="946">
      <c r="A946" s="189"/>
      <c r="B946" s="190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</row>
    <row r="947">
      <c r="A947" s="189"/>
      <c r="B947" s="190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</row>
    <row r="948">
      <c r="A948" s="189"/>
      <c r="B948" s="190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</row>
    <row r="949">
      <c r="A949" s="189"/>
      <c r="B949" s="190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</row>
    <row r="950">
      <c r="A950" s="189"/>
      <c r="B950" s="190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</row>
    <row r="951">
      <c r="A951" s="189"/>
      <c r="B951" s="190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</row>
    <row r="952">
      <c r="A952" s="189"/>
      <c r="B952" s="190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</row>
    <row r="953">
      <c r="A953" s="189"/>
      <c r="B953" s="190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</row>
    <row r="954">
      <c r="A954" s="189"/>
      <c r="B954" s="190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</row>
    <row r="955">
      <c r="A955" s="189"/>
      <c r="B955" s="190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</row>
    <row r="956">
      <c r="A956" s="189"/>
      <c r="B956" s="190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</row>
    <row r="957">
      <c r="A957" s="189"/>
      <c r="B957" s="190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</row>
    <row r="958">
      <c r="A958" s="189"/>
      <c r="B958" s="190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</row>
    <row r="959">
      <c r="A959" s="189"/>
      <c r="B959" s="190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</row>
    <row r="960">
      <c r="A960" s="189"/>
      <c r="B960" s="190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</row>
    <row r="961">
      <c r="A961" s="189"/>
      <c r="B961" s="190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</row>
    <row r="962">
      <c r="A962" s="189"/>
      <c r="B962" s="190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</row>
    <row r="963">
      <c r="A963" s="189"/>
      <c r="B963" s="190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</row>
    <row r="964">
      <c r="A964" s="189"/>
      <c r="B964" s="190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</row>
    <row r="965">
      <c r="A965" s="189"/>
      <c r="B965" s="190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</row>
    <row r="966">
      <c r="A966" s="189"/>
      <c r="B966" s="190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</row>
    <row r="967">
      <c r="A967" s="189"/>
      <c r="B967" s="190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</row>
    <row r="968">
      <c r="A968" s="189"/>
      <c r="B968" s="190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</row>
    <row r="969">
      <c r="A969" s="189"/>
      <c r="B969" s="190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</row>
    <row r="970">
      <c r="A970" s="189"/>
      <c r="B970" s="190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</row>
    <row r="971">
      <c r="A971" s="189"/>
      <c r="B971" s="190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</row>
    <row r="972">
      <c r="A972" s="189"/>
      <c r="B972" s="190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</row>
    <row r="973">
      <c r="A973" s="189"/>
      <c r="B973" s="190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</row>
    <row r="974">
      <c r="A974" s="189"/>
      <c r="B974" s="190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</row>
    <row r="975">
      <c r="A975" s="189"/>
      <c r="B975" s="190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</row>
    <row r="976">
      <c r="A976" s="189"/>
      <c r="B976" s="190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</row>
    <row r="977">
      <c r="A977" s="189"/>
      <c r="B977" s="190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</row>
    <row r="978">
      <c r="A978" s="189"/>
      <c r="B978" s="190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</row>
    <row r="979">
      <c r="A979" s="189"/>
      <c r="B979" s="190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</row>
    <row r="980">
      <c r="A980" s="189"/>
      <c r="B980" s="190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</row>
    <row r="981">
      <c r="A981" s="189"/>
      <c r="B981" s="190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</row>
    <row r="982">
      <c r="A982" s="189"/>
      <c r="B982" s="190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</row>
    <row r="983">
      <c r="A983" s="189"/>
      <c r="B983" s="190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</row>
    <row r="984">
      <c r="A984" s="189"/>
      <c r="B984" s="190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</row>
    <row r="985">
      <c r="A985" s="189"/>
      <c r="B985" s="190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</row>
    <row r="986">
      <c r="A986" s="189"/>
      <c r="B986" s="190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</row>
    <row r="987">
      <c r="A987" s="189"/>
      <c r="B987" s="190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</row>
    <row r="988">
      <c r="A988" s="189"/>
      <c r="B988" s="190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  <c r="Z988" s="189"/>
    </row>
    <row r="989">
      <c r="A989" s="189"/>
      <c r="B989" s="190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  <c r="Z989" s="189"/>
    </row>
    <row r="990">
      <c r="A990" s="189"/>
      <c r="B990" s="190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  <c r="Z990" s="189"/>
    </row>
    <row r="991">
      <c r="A991" s="189"/>
      <c r="B991" s="190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89"/>
      <c r="V991" s="189"/>
      <c r="W991" s="189"/>
      <c r="X991" s="189"/>
      <c r="Y991" s="189"/>
      <c r="Z991" s="189"/>
    </row>
    <row r="992">
      <c r="A992" s="189"/>
      <c r="B992" s="190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89"/>
      <c r="V992" s="189"/>
      <c r="W992" s="189"/>
      <c r="X992" s="189"/>
      <c r="Y992" s="189"/>
      <c r="Z992" s="189"/>
    </row>
    <row r="993">
      <c r="A993" s="189"/>
      <c r="B993" s="190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89"/>
      <c r="V993" s="189"/>
      <c r="W993" s="189"/>
      <c r="X993" s="189"/>
      <c r="Y993" s="189"/>
      <c r="Z993" s="189"/>
    </row>
    <row r="994">
      <c r="A994" s="189"/>
      <c r="B994" s="190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89"/>
      <c r="V994" s="189"/>
      <c r="W994" s="189"/>
      <c r="X994" s="189"/>
      <c r="Y994" s="189"/>
      <c r="Z994" s="189"/>
    </row>
    <row r="995">
      <c r="A995" s="189"/>
      <c r="B995" s="190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89"/>
      <c r="V995" s="189"/>
      <c r="W995" s="189"/>
      <c r="X995" s="189"/>
      <c r="Y995" s="189"/>
      <c r="Z995" s="189"/>
    </row>
    <row r="996">
      <c r="A996" s="189"/>
      <c r="B996" s="190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89"/>
      <c r="V996" s="189"/>
      <c r="W996" s="189"/>
      <c r="X996" s="189"/>
      <c r="Y996" s="189"/>
      <c r="Z996" s="189"/>
    </row>
    <row r="997">
      <c r="A997" s="189"/>
      <c r="B997" s="190"/>
      <c r="C997" s="189"/>
      <c r="D997" s="189"/>
      <c r="E997" s="189"/>
      <c r="F997" s="189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89"/>
      <c r="V997" s="189"/>
      <c r="W997" s="189"/>
      <c r="X997" s="189"/>
      <c r="Y997" s="189"/>
      <c r="Z997" s="189"/>
    </row>
    <row r="998">
      <c r="A998" s="189"/>
      <c r="B998" s="190"/>
      <c r="C998" s="189"/>
      <c r="D998" s="189"/>
      <c r="E998" s="189"/>
      <c r="F998" s="189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89"/>
      <c r="V998" s="189"/>
      <c r="W998" s="189"/>
      <c r="X998" s="189"/>
      <c r="Y998" s="189"/>
      <c r="Z998" s="189"/>
    </row>
    <row r="999">
      <c r="A999" s="189"/>
      <c r="B999" s="190"/>
      <c r="C999" s="189"/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89"/>
      <c r="V999" s="189"/>
      <c r="W999" s="189"/>
      <c r="X999" s="189"/>
      <c r="Y999" s="189"/>
      <c r="Z999" s="189"/>
    </row>
    <row r="1000">
      <c r="A1000" s="189"/>
      <c r="B1000" s="190"/>
      <c r="C1000" s="189"/>
      <c r="D1000" s="189"/>
      <c r="E1000" s="189"/>
      <c r="F1000" s="189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89"/>
      <c r="V1000" s="189"/>
      <c r="W1000" s="189"/>
      <c r="X1000" s="189"/>
      <c r="Y1000" s="189"/>
      <c r="Z1000" s="189"/>
    </row>
    <row r="1001">
      <c r="A1001" s="189"/>
      <c r="B1001" s="190"/>
      <c r="C1001" s="189"/>
      <c r="D1001" s="189"/>
      <c r="E1001" s="189"/>
      <c r="F1001" s="189"/>
      <c r="G1001" s="189"/>
      <c r="H1001" s="189"/>
      <c r="I1001" s="189"/>
      <c r="J1001" s="189"/>
      <c r="K1001" s="189"/>
      <c r="L1001" s="189"/>
      <c r="M1001" s="189"/>
      <c r="N1001" s="189"/>
      <c r="O1001" s="189"/>
      <c r="P1001" s="189"/>
      <c r="Q1001" s="189"/>
      <c r="R1001" s="189"/>
      <c r="S1001" s="189"/>
      <c r="T1001" s="189"/>
      <c r="U1001" s="189"/>
      <c r="V1001" s="189"/>
      <c r="W1001" s="189"/>
      <c r="X1001" s="189"/>
      <c r="Y1001" s="189"/>
      <c r="Z1001" s="189"/>
    </row>
    <row r="1002">
      <c r="A1002" s="189"/>
      <c r="B1002" s="190"/>
      <c r="C1002" s="189"/>
      <c r="D1002" s="189"/>
      <c r="E1002" s="189"/>
      <c r="F1002" s="189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89"/>
      <c r="Q1002" s="189"/>
      <c r="R1002" s="189"/>
      <c r="S1002" s="189"/>
      <c r="T1002" s="189"/>
      <c r="U1002" s="189"/>
      <c r="V1002" s="189"/>
      <c r="W1002" s="189"/>
      <c r="X1002" s="189"/>
      <c r="Y1002" s="189"/>
      <c r="Z1002" s="189"/>
    </row>
    <row r="1003">
      <c r="A1003" s="189"/>
      <c r="B1003" s="190"/>
      <c r="C1003" s="189"/>
      <c r="D1003" s="189"/>
      <c r="E1003" s="189"/>
      <c r="F1003" s="189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89"/>
      <c r="Q1003" s="189"/>
      <c r="R1003" s="189"/>
      <c r="S1003" s="189"/>
      <c r="T1003" s="189"/>
      <c r="U1003" s="189"/>
      <c r="V1003" s="189"/>
      <c r="W1003" s="189"/>
      <c r="X1003" s="189"/>
      <c r="Y1003" s="189"/>
      <c r="Z1003" s="189"/>
    </row>
    <row r="1004">
      <c r="A1004" s="189"/>
      <c r="B1004" s="190"/>
      <c r="C1004" s="189"/>
      <c r="D1004" s="189"/>
      <c r="E1004" s="189"/>
      <c r="F1004" s="189"/>
      <c r="G1004" s="189"/>
      <c r="H1004" s="189"/>
      <c r="I1004" s="189"/>
      <c r="J1004" s="189"/>
      <c r="K1004" s="189"/>
      <c r="L1004" s="189"/>
      <c r="M1004" s="189"/>
      <c r="N1004" s="189"/>
      <c r="O1004" s="189"/>
      <c r="P1004" s="189"/>
      <c r="Q1004" s="189"/>
      <c r="R1004" s="189"/>
      <c r="S1004" s="189"/>
      <c r="T1004" s="189"/>
      <c r="U1004" s="189"/>
      <c r="V1004" s="189"/>
      <c r="W1004" s="189"/>
      <c r="X1004" s="189"/>
      <c r="Y1004" s="189"/>
      <c r="Z1004" s="189"/>
    </row>
    <row r="1005">
      <c r="A1005" s="189"/>
      <c r="B1005" s="190"/>
      <c r="C1005" s="189"/>
      <c r="D1005" s="189"/>
      <c r="E1005" s="189"/>
      <c r="F1005" s="189"/>
      <c r="G1005" s="189"/>
      <c r="H1005" s="189"/>
      <c r="I1005" s="189"/>
      <c r="J1005" s="189"/>
      <c r="K1005" s="189"/>
      <c r="L1005" s="189"/>
      <c r="M1005" s="189"/>
      <c r="N1005" s="189"/>
      <c r="O1005" s="189"/>
      <c r="P1005" s="189"/>
      <c r="Q1005" s="189"/>
      <c r="R1005" s="189"/>
      <c r="S1005" s="189"/>
      <c r="T1005" s="189"/>
      <c r="U1005" s="189"/>
      <c r="V1005" s="189"/>
      <c r="W1005" s="189"/>
      <c r="X1005" s="189"/>
      <c r="Y1005" s="189"/>
      <c r="Z1005" s="189"/>
    </row>
    <row r="1006">
      <c r="A1006" s="189"/>
      <c r="B1006" s="190"/>
      <c r="C1006" s="189"/>
      <c r="D1006" s="189"/>
      <c r="E1006" s="189"/>
      <c r="F1006" s="189"/>
      <c r="G1006" s="189"/>
      <c r="H1006" s="189"/>
      <c r="I1006" s="189"/>
      <c r="J1006" s="189"/>
      <c r="K1006" s="189"/>
      <c r="L1006" s="189"/>
      <c r="M1006" s="189"/>
      <c r="N1006" s="189"/>
      <c r="O1006" s="189"/>
      <c r="P1006" s="189"/>
      <c r="Q1006" s="189"/>
      <c r="R1006" s="189"/>
      <c r="S1006" s="189"/>
      <c r="T1006" s="189"/>
      <c r="U1006" s="189"/>
      <c r="V1006" s="189"/>
      <c r="W1006" s="189"/>
      <c r="X1006" s="189"/>
      <c r="Y1006" s="189"/>
      <c r="Z1006" s="189"/>
    </row>
    <row r="1007">
      <c r="A1007" s="189"/>
      <c r="B1007" s="190"/>
      <c r="C1007" s="189"/>
      <c r="D1007" s="189"/>
      <c r="E1007" s="189"/>
      <c r="F1007" s="189"/>
      <c r="G1007" s="189"/>
      <c r="H1007" s="189"/>
      <c r="I1007" s="189"/>
      <c r="J1007" s="189"/>
      <c r="K1007" s="189"/>
      <c r="L1007" s="189"/>
      <c r="M1007" s="189"/>
      <c r="N1007" s="189"/>
      <c r="O1007" s="189"/>
      <c r="P1007" s="189"/>
      <c r="Q1007" s="189"/>
      <c r="R1007" s="189"/>
      <c r="S1007" s="189"/>
      <c r="T1007" s="189"/>
      <c r="U1007" s="189"/>
      <c r="V1007" s="189"/>
      <c r="W1007" s="189"/>
      <c r="X1007" s="189"/>
      <c r="Y1007" s="189"/>
      <c r="Z1007" s="189"/>
    </row>
    <row r="1008">
      <c r="A1008" s="189"/>
      <c r="B1008" s="190"/>
      <c r="C1008" s="189"/>
      <c r="D1008" s="189"/>
      <c r="E1008" s="189"/>
      <c r="F1008" s="189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89"/>
      <c r="Q1008" s="189"/>
      <c r="R1008" s="189"/>
      <c r="S1008" s="189"/>
      <c r="T1008" s="189"/>
      <c r="U1008" s="189"/>
      <c r="V1008" s="189"/>
      <c r="W1008" s="189"/>
      <c r="X1008" s="189"/>
      <c r="Y1008" s="189"/>
      <c r="Z1008" s="189"/>
    </row>
    <row r="1009">
      <c r="A1009" s="189"/>
      <c r="B1009" s="190"/>
      <c r="C1009" s="189"/>
      <c r="D1009" s="189"/>
      <c r="E1009" s="189"/>
      <c r="F1009" s="189"/>
      <c r="G1009" s="189"/>
      <c r="H1009" s="189"/>
      <c r="I1009" s="189"/>
      <c r="J1009" s="189"/>
      <c r="K1009" s="189"/>
      <c r="L1009" s="189"/>
      <c r="M1009" s="189"/>
      <c r="N1009" s="189"/>
      <c r="O1009" s="189"/>
      <c r="P1009" s="189"/>
      <c r="Q1009" s="189"/>
      <c r="R1009" s="189"/>
      <c r="S1009" s="189"/>
      <c r="T1009" s="189"/>
      <c r="U1009" s="189"/>
      <c r="V1009" s="189"/>
      <c r="W1009" s="189"/>
      <c r="X1009" s="189"/>
      <c r="Y1009" s="189"/>
      <c r="Z1009" s="189"/>
    </row>
    <row r="1010">
      <c r="A1010" s="189"/>
      <c r="B1010" s="190"/>
      <c r="C1010" s="189"/>
      <c r="D1010" s="189"/>
      <c r="E1010" s="189"/>
      <c r="F1010" s="189"/>
      <c r="G1010" s="189"/>
      <c r="H1010" s="189"/>
      <c r="I1010" s="189"/>
      <c r="J1010" s="189"/>
      <c r="K1010" s="189"/>
      <c r="L1010" s="189"/>
      <c r="M1010" s="189"/>
      <c r="N1010" s="189"/>
      <c r="O1010" s="189"/>
      <c r="P1010" s="189"/>
      <c r="Q1010" s="189"/>
      <c r="R1010" s="189"/>
      <c r="S1010" s="189"/>
      <c r="T1010" s="189"/>
      <c r="U1010" s="189"/>
      <c r="V1010" s="189"/>
      <c r="W1010" s="189"/>
      <c r="X1010" s="189"/>
      <c r="Y1010" s="189"/>
      <c r="Z1010" s="189"/>
    </row>
    <row r="1011">
      <c r="A1011" s="189"/>
      <c r="B1011" s="190"/>
      <c r="C1011" s="189"/>
      <c r="D1011" s="189"/>
      <c r="E1011" s="189"/>
      <c r="F1011" s="189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89"/>
      <c r="Q1011" s="189"/>
      <c r="R1011" s="189"/>
      <c r="S1011" s="189"/>
      <c r="T1011" s="189"/>
      <c r="U1011" s="189"/>
      <c r="V1011" s="189"/>
      <c r="W1011" s="189"/>
      <c r="X1011" s="189"/>
      <c r="Y1011" s="189"/>
      <c r="Z1011" s="189"/>
    </row>
    <row r="1012">
      <c r="A1012" s="189"/>
      <c r="B1012" s="190"/>
      <c r="C1012" s="189"/>
      <c r="D1012" s="189"/>
      <c r="E1012" s="189"/>
      <c r="F1012" s="189"/>
      <c r="G1012" s="189"/>
      <c r="H1012" s="189"/>
      <c r="I1012" s="189"/>
      <c r="J1012" s="189"/>
      <c r="K1012" s="189"/>
      <c r="L1012" s="189"/>
      <c r="M1012" s="189"/>
      <c r="N1012" s="189"/>
      <c r="O1012" s="189"/>
      <c r="P1012" s="189"/>
      <c r="Q1012" s="189"/>
      <c r="R1012" s="189"/>
      <c r="S1012" s="189"/>
      <c r="T1012" s="189"/>
      <c r="U1012" s="189"/>
      <c r="V1012" s="189"/>
      <c r="W1012" s="189"/>
      <c r="X1012" s="189"/>
      <c r="Y1012" s="189"/>
      <c r="Z1012" s="189"/>
    </row>
    <row r="1013">
      <c r="A1013" s="189"/>
      <c r="B1013" s="190"/>
      <c r="C1013" s="189"/>
      <c r="D1013" s="189"/>
      <c r="E1013" s="189"/>
      <c r="F1013" s="189"/>
      <c r="G1013" s="189"/>
      <c r="H1013" s="189"/>
      <c r="I1013" s="189"/>
      <c r="J1013" s="189"/>
      <c r="K1013" s="189"/>
      <c r="L1013" s="189"/>
      <c r="M1013" s="189"/>
      <c r="N1013" s="189"/>
      <c r="O1013" s="189"/>
      <c r="P1013" s="189"/>
      <c r="Q1013" s="189"/>
      <c r="R1013" s="189"/>
      <c r="S1013" s="189"/>
      <c r="T1013" s="189"/>
      <c r="U1013" s="189"/>
      <c r="V1013" s="189"/>
      <c r="W1013" s="189"/>
      <c r="X1013" s="189"/>
      <c r="Y1013" s="189"/>
      <c r="Z1013" s="189"/>
    </row>
    <row r="1014">
      <c r="A1014" s="189"/>
      <c r="B1014" s="190"/>
      <c r="C1014" s="189"/>
      <c r="D1014" s="189"/>
      <c r="E1014" s="189"/>
      <c r="F1014" s="189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89"/>
      <c r="Q1014" s="189"/>
      <c r="R1014" s="189"/>
      <c r="S1014" s="189"/>
      <c r="T1014" s="189"/>
      <c r="U1014" s="189"/>
      <c r="V1014" s="189"/>
      <c r="W1014" s="189"/>
      <c r="X1014" s="189"/>
      <c r="Y1014" s="189"/>
      <c r="Z1014" s="189"/>
    </row>
    <row r="1015">
      <c r="A1015" s="189"/>
      <c r="B1015" s="190"/>
      <c r="C1015" s="189"/>
      <c r="D1015" s="189"/>
      <c r="E1015" s="189"/>
      <c r="F1015" s="189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89"/>
      <c r="Q1015" s="189"/>
      <c r="R1015" s="189"/>
      <c r="S1015" s="189"/>
      <c r="T1015" s="189"/>
      <c r="U1015" s="189"/>
      <c r="V1015" s="189"/>
      <c r="W1015" s="189"/>
      <c r="X1015" s="189"/>
      <c r="Y1015" s="189"/>
      <c r="Z1015" s="189"/>
    </row>
    <row r="1016">
      <c r="A1016" s="189"/>
      <c r="B1016" s="190"/>
      <c r="C1016" s="189"/>
      <c r="D1016" s="189"/>
      <c r="E1016" s="189"/>
      <c r="F1016" s="189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89"/>
      <c r="S1016" s="189"/>
      <c r="T1016" s="189"/>
      <c r="U1016" s="189"/>
      <c r="V1016" s="189"/>
      <c r="W1016" s="189"/>
      <c r="X1016" s="189"/>
      <c r="Y1016" s="189"/>
      <c r="Z1016" s="189"/>
    </row>
    <row r="1017">
      <c r="A1017" s="189"/>
      <c r="B1017" s="190"/>
      <c r="C1017" s="189"/>
      <c r="D1017" s="189"/>
      <c r="E1017" s="189"/>
      <c r="F1017" s="189"/>
      <c r="G1017" s="189"/>
      <c r="H1017" s="189"/>
      <c r="I1017" s="189"/>
      <c r="J1017" s="189"/>
      <c r="K1017" s="189"/>
      <c r="L1017" s="189"/>
      <c r="M1017" s="189"/>
      <c r="N1017" s="189"/>
      <c r="O1017" s="189"/>
      <c r="P1017" s="189"/>
      <c r="Q1017" s="189"/>
      <c r="R1017" s="189"/>
      <c r="S1017" s="189"/>
      <c r="T1017" s="189"/>
      <c r="U1017" s="189"/>
      <c r="V1017" s="189"/>
      <c r="W1017" s="189"/>
      <c r="X1017" s="189"/>
      <c r="Y1017" s="189"/>
      <c r="Z1017" s="189"/>
    </row>
    <row r="1018">
      <c r="A1018" s="189"/>
      <c r="B1018" s="190"/>
      <c r="C1018" s="189"/>
      <c r="D1018" s="189"/>
      <c r="E1018" s="189"/>
      <c r="F1018" s="189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89"/>
      <c r="Q1018" s="189"/>
      <c r="R1018" s="189"/>
      <c r="S1018" s="189"/>
      <c r="T1018" s="189"/>
      <c r="U1018" s="189"/>
      <c r="V1018" s="189"/>
      <c r="W1018" s="189"/>
      <c r="X1018" s="189"/>
      <c r="Y1018" s="189"/>
      <c r="Z1018" s="189"/>
    </row>
    <row r="1019">
      <c r="A1019" s="189"/>
      <c r="B1019" s="190"/>
      <c r="C1019" s="189"/>
      <c r="D1019" s="189"/>
      <c r="E1019" s="189"/>
      <c r="F1019" s="189"/>
      <c r="G1019" s="189"/>
      <c r="H1019" s="189"/>
      <c r="I1019" s="189"/>
      <c r="J1019" s="189"/>
      <c r="K1019" s="189"/>
      <c r="L1019" s="189"/>
      <c r="M1019" s="189"/>
      <c r="N1019" s="189"/>
      <c r="O1019" s="189"/>
      <c r="P1019" s="189"/>
      <c r="Q1019" s="189"/>
      <c r="R1019" s="189"/>
      <c r="S1019" s="189"/>
      <c r="T1019" s="189"/>
      <c r="U1019" s="189"/>
      <c r="V1019" s="189"/>
      <c r="W1019" s="189"/>
      <c r="X1019" s="189"/>
      <c r="Y1019" s="189"/>
      <c r="Z1019" s="189"/>
    </row>
    <row r="1020">
      <c r="A1020" s="189"/>
      <c r="B1020" s="190"/>
      <c r="C1020" s="189"/>
      <c r="D1020" s="189"/>
      <c r="E1020" s="189"/>
      <c r="F1020" s="189"/>
      <c r="G1020" s="189"/>
      <c r="H1020" s="189"/>
      <c r="I1020" s="189"/>
      <c r="J1020" s="189"/>
      <c r="K1020" s="189"/>
      <c r="L1020" s="189"/>
      <c r="M1020" s="189"/>
      <c r="N1020" s="189"/>
      <c r="O1020" s="189"/>
      <c r="P1020" s="189"/>
      <c r="Q1020" s="189"/>
      <c r="R1020" s="189"/>
      <c r="S1020" s="189"/>
      <c r="T1020" s="189"/>
      <c r="U1020" s="189"/>
      <c r="V1020" s="189"/>
      <c r="W1020" s="189"/>
      <c r="X1020" s="189"/>
      <c r="Y1020" s="189"/>
      <c r="Z1020" s="189"/>
    </row>
    <row r="1021">
      <c r="A1021" s="189"/>
      <c r="B1021" s="190"/>
      <c r="C1021" s="189"/>
      <c r="D1021" s="189"/>
      <c r="E1021" s="189"/>
      <c r="F1021" s="189"/>
      <c r="G1021" s="189"/>
      <c r="H1021" s="189"/>
      <c r="I1021" s="189"/>
      <c r="J1021" s="189"/>
      <c r="K1021" s="189"/>
      <c r="L1021" s="189"/>
      <c r="M1021" s="189"/>
      <c r="N1021" s="189"/>
      <c r="O1021" s="189"/>
      <c r="P1021" s="189"/>
      <c r="Q1021" s="189"/>
      <c r="R1021" s="189"/>
      <c r="S1021" s="189"/>
      <c r="T1021" s="189"/>
      <c r="U1021" s="189"/>
      <c r="V1021" s="189"/>
      <c r="W1021" s="189"/>
      <c r="X1021" s="189"/>
      <c r="Y1021" s="189"/>
      <c r="Z1021" s="189"/>
    </row>
    <row r="1022">
      <c r="A1022" s="189"/>
      <c r="B1022" s="190"/>
      <c r="C1022" s="189"/>
      <c r="D1022" s="189"/>
      <c r="E1022" s="189"/>
      <c r="F1022" s="189"/>
      <c r="G1022" s="189"/>
      <c r="H1022" s="189"/>
      <c r="I1022" s="189"/>
      <c r="J1022" s="189"/>
      <c r="K1022" s="189"/>
      <c r="L1022" s="189"/>
      <c r="M1022" s="189"/>
      <c r="N1022" s="189"/>
      <c r="O1022" s="189"/>
      <c r="P1022" s="189"/>
      <c r="Q1022" s="189"/>
      <c r="R1022" s="189"/>
      <c r="S1022" s="189"/>
      <c r="T1022" s="189"/>
      <c r="U1022" s="189"/>
      <c r="V1022" s="189"/>
      <c r="W1022" s="189"/>
      <c r="X1022" s="189"/>
      <c r="Y1022" s="189"/>
      <c r="Z1022" s="189"/>
    </row>
    <row r="1023">
      <c r="A1023" s="189"/>
      <c r="B1023" s="190"/>
      <c r="C1023" s="189"/>
      <c r="D1023" s="189"/>
      <c r="E1023" s="189"/>
      <c r="F1023" s="189"/>
      <c r="G1023" s="189"/>
      <c r="H1023" s="189"/>
      <c r="I1023" s="189"/>
      <c r="J1023" s="189"/>
      <c r="K1023" s="189"/>
      <c r="L1023" s="189"/>
      <c r="M1023" s="189"/>
      <c r="N1023" s="189"/>
      <c r="O1023" s="189"/>
      <c r="P1023" s="189"/>
      <c r="Q1023" s="189"/>
      <c r="R1023" s="189"/>
      <c r="S1023" s="189"/>
      <c r="T1023" s="189"/>
      <c r="U1023" s="189"/>
      <c r="V1023" s="189"/>
      <c r="W1023" s="189"/>
      <c r="X1023" s="189"/>
      <c r="Y1023" s="189"/>
      <c r="Z1023" s="189"/>
    </row>
    <row r="1024">
      <c r="A1024" s="189"/>
      <c r="B1024" s="190"/>
      <c r="C1024" s="189"/>
      <c r="D1024" s="189"/>
      <c r="E1024" s="189"/>
      <c r="F1024" s="189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89"/>
      <c r="Q1024" s="189"/>
      <c r="R1024" s="189"/>
      <c r="S1024" s="189"/>
      <c r="T1024" s="189"/>
      <c r="U1024" s="189"/>
      <c r="V1024" s="189"/>
      <c r="W1024" s="189"/>
      <c r="X1024" s="189"/>
      <c r="Y1024" s="189"/>
      <c r="Z1024" s="189"/>
    </row>
    <row r="1025">
      <c r="A1025" s="189"/>
      <c r="B1025" s="190"/>
      <c r="C1025" s="189"/>
      <c r="D1025" s="189"/>
      <c r="E1025" s="189"/>
      <c r="F1025" s="189"/>
      <c r="G1025" s="189"/>
      <c r="H1025" s="189"/>
      <c r="I1025" s="189"/>
      <c r="J1025" s="189"/>
      <c r="K1025" s="189"/>
      <c r="L1025" s="189"/>
      <c r="M1025" s="189"/>
      <c r="N1025" s="189"/>
      <c r="O1025" s="189"/>
      <c r="P1025" s="189"/>
      <c r="Q1025" s="189"/>
      <c r="R1025" s="189"/>
      <c r="S1025" s="189"/>
      <c r="T1025" s="189"/>
      <c r="U1025" s="189"/>
      <c r="V1025" s="189"/>
      <c r="W1025" s="189"/>
      <c r="X1025" s="189"/>
      <c r="Y1025" s="189"/>
      <c r="Z1025" s="189"/>
    </row>
    <row r="1026">
      <c r="A1026" s="189"/>
      <c r="B1026" s="190"/>
      <c r="C1026" s="189"/>
      <c r="D1026" s="189"/>
      <c r="E1026" s="189"/>
      <c r="F1026" s="189"/>
      <c r="G1026" s="189"/>
      <c r="H1026" s="189"/>
      <c r="I1026" s="189"/>
      <c r="J1026" s="189"/>
      <c r="K1026" s="189"/>
      <c r="L1026" s="189"/>
      <c r="M1026" s="189"/>
      <c r="N1026" s="189"/>
      <c r="O1026" s="189"/>
      <c r="P1026" s="189"/>
      <c r="Q1026" s="189"/>
      <c r="R1026" s="189"/>
      <c r="S1026" s="189"/>
      <c r="T1026" s="189"/>
      <c r="U1026" s="189"/>
      <c r="V1026" s="189"/>
      <c r="W1026" s="189"/>
      <c r="X1026" s="189"/>
      <c r="Y1026" s="189"/>
      <c r="Z1026" s="189"/>
    </row>
    <row r="1027">
      <c r="A1027" s="189"/>
      <c r="B1027" s="190"/>
      <c r="C1027" s="189"/>
      <c r="D1027" s="189"/>
      <c r="E1027" s="189"/>
      <c r="F1027" s="189"/>
      <c r="G1027" s="189"/>
      <c r="H1027" s="189"/>
      <c r="I1027" s="189"/>
      <c r="J1027" s="189"/>
      <c r="K1027" s="189"/>
      <c r="L1027" s="189"/>
      <c r="M1027" s="189"/>
      <c r="N1027" s="189"/>
      <c r="O1027" s="189"/>
      <c r="P1027" s="189"/>
      <c r="Q1027" s="189"/>
      <c r="R1027" s="189"/>
      <c r="S1027" s="189"/>
      <c r="T1027" s="189"/>
      <c r="U1027" s="189"/>
      <c r="V1027" s="189"/>
      <c r="W1027" s="189"/>
      <c r="X1027" s="189"/>
      <c r="Y1027" s="189"/>
      <c r="Z1027" s="189"/>
    </row>
    <row r="1028">
      <c r="A1028" s="189"/>
      <c r="B1028" s="190"/>
      <c r="C1028" s="189"/>
      <c r="D1028" s="189"/>
      <c r="E1028" s="189"/>
      <c r="F1028" s="189"/>
      <c r="G1028" s="189"/>
      <c r="H1028" s="189"/>
      <c r="I1028" s="189"/>
      <c r="J1028" s="189"/>
      <c r="K1028" s="189"/>
      <c r="L1028" s="189"/>
      <c r="M1028" s="189"/>
      <c r="N1028" s="189"/>
      <c r="O1028" s="189"/>
      <c r="P1028" s="189"/>
      <c r="Q1028" s="189"/>
      <c r="R1028" s="189"/>
      <c r="S1028" s="189"/>
      <c r="T1028" s="189"/>
      <c r="U1028" s="189"/>
      <c r="V1028" s="189"/>
      <c r="W1028" s="189"/>
      <c r="X1028" s="189"/>
      <c r="Y1028" s="189"/>
      <c r="Z1028" s="189"/>
    </row>
    <row r="1029">
      <c r="A1029" s="189"/>
      <c r="B1029" s="190"/>
      <c r="C1029" s="189"/>
      <c r="D1029" s="189"/>
      <c r="E1029" s="189"/>
      <c r="F1029" s="189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89"/>
      <c r="Q1029" s="189"/>
      <c r="R1029" s="189"/>
      <c r="S1029" s="189"/>
      <c r="T1029" s="189"/>
      <c r="U1029" s="189"/>
      <c r="V1029" s="189"/>
      <c r="W1029" s="189"/>
      <c r="X1029" s="189"/>
      <c r="Y1029" s="189"/>
      <c r="Z1029" s="189"/>
    </row>
    <row r="1030">
      <c r="A1030" s="189"/>
      <c r="B1030" s="190"/>
      <c r="C1030" s="189"/>
      <c r="D1030" s="189"/>
      <c r="E1030" s="189"/>
      <c r="F1030" s="189"/>
      <c r="G1030" s="189"/>
      <c r="H1030" s="189"/>
      <c r="I1030" s="189"/>
      <c r="J1030" s="189"/>
      <c r="K1030" s="189"/>
      <c r="L1030" s="189"/>
      <c r="M1030" s="189"/>
      <c r="N1030" s="189"/>
      <c r="O1030" s="189"/>
      <c r="P1030" s="189"/>
      <c r="Q1030" s="189"/>
      <c r="R1030" s="189"/>
      <c r="S1030" s="189"/>
      <c r="T1030" s="189"/>
      <c r="U1030" s="189"/>
      <c r="V1030" s="189"/>
      <c r="W1030" s="189"/>
      <c r="X1030" s="189"/>
      <c r="Y1030" s="189"/>
      <c r="Z1030" s="189"/>
    </row>
    <row r="1031">
      <c r="A1031" s="189"/>
      <c r="B1031" s="190"/>
      <c r="C1031" s="189"/>
      <c r="D1031" s="189"/>
      <c r="E1031" s="189"/>
      <c r="F1031" s="189"/>
      <c r="G1031" s="189"/>
      <c r="H1031" s="189"/>
      <c r="I1031" s="189"/>
      <c r="J1031" s="189"/>
      <c r="K1031" s="189"/>
      <c r="L1031" s="189"/>
      <c r="M1031" s="189"/>
      <c r="N1031" s="189"/>
      <c r="O1031" s="189"/>
      <c r="P1031" s="189"/>
      <c r="Q1031" s="189"/>
      <c r="R1031" s="189"/>
      <c r="S1031" s="189"/>
      <c r="T1031" s="189"/>
      <c r="U1031" s="189"/>
      <c r="V1031" s="189"/>
      <c r="W1031" s="189"/>
      <c r="X1031" s="189"/>
      <c r="Y1031" s="189"/>
      <c r="Z1031" s="189"/>
    </row>
    <row r="1032">
      <c r="A1032" s="189"/>
      <c r="B1032" s="190"/>
      <c r="C1032" s="189"/>
      <c r="D1032" s="189"/>
      <c r="E1032" s="189"/>
      <c r="F1032" s="189"/>
      <c r="G1032" s="189"/>
      <c r="H1032" s="189"/>
      <c r="I1032" s="189"/>
      <c r="J1032" s="189"/>
      <c r="K1032" s="189"/>
      <c r="L1032" s="189"/>
      <c r="M1032" s="189"/>
      <c r="N1032" s="189"/>
      <c r="O1032" s="189"/>
      <c r="P1032" s="189"/>
      <c r="Q1032" s="189"/>
      <c r="R1032" s="189"/>
      <c r="S1032" s="189"/>
      <c r="T1032" s="189"/>
      <c r="U1032" s="189"/>
      <c r="V1032" s="189"/>
      <c r="W1032" s="189"/>
      <c r="X1032" s="189"/>
      <c r="Y1032" s="189"/>
      <c r="Z1032" s="189"/>
    </row>
    <row r="1033">
      <c r="A1033" s="189"/>
      <c r="B1033" s="190"/>
      <c r="C1033" s="189"/>
      <c r="D1033" s="189"/>
      <c r="E1033" s="189"/>
      <c r="F1033" s="189"/>
      <c r="G1033" s="189"/>
      <c r="H1033" s="189"/>
      <c r="I1033" s="189"/>
      <c r="J1033" s="189"/>
      <c r="K1033" s="189"/>
      <c r="L1033" s="189"/>
      <c r="M1033" s="189"/>
      <c r="N1033" s="189"/>
      <c r="O1033" s="189"/>
      <c r="P1033" s="189"/>
      <c r="Q1033" s="189"/>
      <c r="R1033" s="189"/>
      <c r="S1033" s="189"/>
      <c r="T1033" s="189"/>
      <c r="U1033" s="189"/>
      <c r="V1033" s="189"/>
      <c r="W1033" s="189"/>
      <c r="X1033" s="189"/>
      <c r="Y1033" s="189"/>
      <c r="Z1033" s="189"/>
    </row>
    <row r="1034">
      <c r="A1034" s="189"/>
      <c r="B1034" s="190"/>
      <c r="C1034" s="189"/>
      <c r="D1034" s="189"/>
      <c r="E1034" s="189"/>
      <c r="F1034" s="189"/>
      <c r="G1034" s="189"/>
      <c r="H1034" s="189"/>
      <c r="I1034" s="189"/>
      <c r="J1034" s="189"/>
      <c r="K1034" s="189"/>
      <c r="L1034" s="189"/>
      <c r="M1034" s="189"/>
      <c r="N1034" s="189"/>
      <c r="O1034" s="189"/>
      <c r="P1034" s="189"/>
      <c r="Q1034" s="189"/>
      <c r="R1034" s="189"/>
      <c r="S1034" s="189"/>
      <c r="T1034" s="189"/>
      <c r="U1034" s="189"/>
      <c r="V1034" s="189"/>
      <c r="W1034" s="189"/>
      <c r="X1034" s="189"/>
      <c r="Y1034" s="189"/>
      <c r="Z1034" s="189"/>
    </row>
    <row r="1035">
      <c r="A1035" s="189"/>
      <c r="B1035" s="190"/>
      <c r="C1035" s="189"/>
      <c r="D1035" s="189"/>
      <c r="E1035" s="189"/>
      <c r="F1035" s="189"/>
      <c r="G1035" s="189"/>
      <c r="H1035" s="189"/>
      <c r="I1035" s="189"/>
      <c r="J1035" s="189"/>
      <c r="K1035" s="189"/>
      <c r="L1035" s="189"/>
      <c r="M1035" s="189"/>
      <c r="N1035" s="189"/>
      <c r="O1035" s="189"/>
      <c r="P1035" s="189"/>
      <c r="Q1035" s="189"/>
      <c r="R1035" s="189"/>
      <c r="S1035" s="189"/>
      <c r="T1035" s="189"/>
      <c r="U1035" s="189"/>
      <c r="V1035" s="189"/>
      <c r="W1035" s="189"/>
      <c r="X1035" s="189"/>
      <c r="Y1035" s="189"/>
      <c r="Z1035" s="189"/>
    </row>
    <row r="1036">
      <c r="A1036" s="189"/>
      <c r="B1036" s="190"/>
      <c r="C1036" s="189"/>
      <c r="D1036" s="189"/>
      <c r="E1036" s="189"/>
      <c r="F1036" s="189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89"/>
      <c r="Q1036" s="189"/>
      <c r="R1036" s="189"/>
      <c r="S1036" s="189"/>
      <c r="T1036" s="189"/>
      <c r="U1036" s="189"/>
      <c r="V1036" s="189"/>
      <c r="W1036" s="189"/>
      <c r="X1036" s="189"/>
      <c r="Y1036" s="189"/>
      <c r="Z1036" s="189"/>
    </row>
    <row r="1037">
      <c r="A1037" s="189"/>
      <c r="B1037" s="190"/>
      <c r="C1037" s="189"/>
      <c r="D1037" s="189"/>
      <c r="E1037" s="189"/>
      <c r="F1037" s="189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89"/>
      <c r="Q1037" s="189"/>
      <c r="R1037" s="189"/>
      <c r="S1037" s="189"/>
      <c r="T1037" s="189"/>
      <c r="U1037" s="189"/>
      <c r="V1037" s="189"/>
      <c r="W1037" s="189"/>
      <c r="X1037" s="189"/>
      <c r="Y1037" s="189"/>
      <c r="Z1037" s="189"/>
    </row>
    <row r="1038">
      <c r="A1038" s="189"/>
      <c r="B1038" s="190"/>
      <c r="C1038" s="189"/>
      <c r="D1038" s="189"/>
      <c r="E1038" s="189"/>
      <c r="F1038" s="189"/>
      <c r="G1038" s="189"/>
      <c r="H1038" s="189"/>
      <c r="I1038" s="189"/>
      <c r="J1038" s="189"/>
      <c r="K1038" s="189"/>
      <c r="L1038" s="189"/>
      <c r="M1038" s="189"/>
      <c r="N1038" s="189"/>
      <c r="O1038" s="189"/>
      <c r="P1038" s="189"/>
      <c r="Q1038" s="189"/>
      <c r="R1038" s="189"/>
      <c r="S1038" s="189"/>
      <c r="T1038" s="189"/>
      <c r="U1038" s="189"/>
      <c r="V1038" s="189"/>
      <c r="W1038" s="189"/>
      <c r="X1038" s="189"/>
      <c r="Y1038" s="189"/>
      <c r="Z1038" s="189"/>
    </row>
    <row r="1039">
      <c r="A1039" s="189"/>
      <c r="B1039" s="190"/>
      <c r="C1039" s="189"/>
      <c r="D1039" s="189"/>
      <c r="E1039" s="189"/>
      <c r="F1039" s="189"/>
      <c r="G1039" s="189"/>
      <c r="H1039" s="189"/>
      <c r="I1039" s="189"/>
      <c r="J1039" s="189"/>
      <c r="K1039" s="189"/>
      <c r="L1039" s="189"/>
      <c r="M1039" s="189"/>
      <c r="N1039" s="189"/>
      <c r="O1039" s="189"/>
      <c r="P1039" s="189"/>
      <c r="Q1039" s="189"/>
      <c r="R1039" s="189"/>
      <c r="S1039" s="189"/>
      <c r="T1039" s="189"/>
      <c r="U1039" s="189"/>
      <c r="V1039" s="189"/>
      <c r="W1039" s="189"/>
      <c r="X1039" s="189"/>
      <c r="Y1039" s="189"/>
      <c r="Z1039" s="189"/>
    </row>
    <row r="1040">
      <c r="A1040" s="189"/>
      <c r="B1040" s="190"/>
      <c r="C1040" s="189"/>
      <c r="D1040" s="189"/>
      <c r="E1040" s="189"/>
      <c r="F1040" s="189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89"/>
      <c r="Q1040" s="189"/>
      <c r="R1040" s="189"/>
      <c r="S1040" s="189"/>
      <c r="T1040" s="189"/>
      <c r="U1040" s="189"/>
      <c r="V1040" s="189"/>
      <c r="W1040" s="189"/>
      <c r="X1040" s="189"/>
      <c r="Y1040" s="189"/>
      <c r="Z1040" s="189"/>
    </row>
    <row r="1041">
      <c r="A1041" s="189"/>
      <c r="B1041" s="190"/>
      <c r="C1041" s="189"/>
      <c r="D1041" s="189"/>
      <c r="E1041" s="189"/>
      <c r="F1041" s="189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89"/>
      <c r="V1041" s="189"/>
      <c r="W1041" s="189"/>
      <c r="X1041" s="189"/>
      <c r="Y1041" s="189"/>
      <c r="Z1041" s="189"/>
    </row>
    <row r="1042">
      <c r="A1042" s="189"/>
      <c r="B1042" s="190"/>
      <c r="C1042" s="189"/>
      <c r="D1042" s="189"/>
      <c r="E1042" s="189"/>
      <c r="F1042" s="189"/>
      <c r="G1042" s="189"/>
      <c r="H1042" s="189"/>
      <c r="I1042" s="189"/>
      <c r="J1042" s="189"/>
      <c r="K1042" s="189"/>
      <c r="L1042" s="189"/>
      <c r="M1042" s="189"/>
      <c r="N1042" s="189"/>
      <c r="O1042" s="189"/>
      <c r="P1042" s="189"/>
      <c r="Q1042" s="189"/>
      <c r="R1042" s="189"/>
      <c r="S1042" s="189"/>
      <c r="T1042" s="189"/>
      <c r="U1042" s="189"/>
      <c r="V1042" s="189"/>
      <c r="W1042" s="189"/>
      <c r="X1042" s="189"/>
      <c r="Y1042" s="189"/>
      <c r="Z1042" s="189"/>
    </row>
    <row r="1043">
      <c r="A1043" s="189"/>
      <c r="B1043" s="190"/>
      <c r="C1043" s="189"/>
      <c r="D1043" s="189"/>
      <c r="E1043" s="189"/>
      <c r="F1043" s="189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89"/>
      <c r="S1043" s="189"/>
      <c r="T1043" s="189"/>
      <c r="U1043" s="189"/>
      <c r="V1043" s="189"/>
      <c r="W1043" s="189"/>
      <c r="X1043" s="189"/>
      <c r="Y1043" s="189"/>
      <c r="Z1043" s="189"/>
    </row>
    <row r="1044">
      <c r="A1044" s="189"/>
      <c r="B1044" s="190"/>
      <c r="C1044" s="189"/>
      <c r="D1044" s="189"/>
      <c r="E1044" s="189"/>
      <c r="F1044" s="189"/>
      <c r="G1044" s="189"/>
      <c r="H1044" s="189"/>
      <c r="I1044" s="189"/>
      <c r="J1044" s="189"/>
      <c r="K1044" s="189"/>
      <c r="L1044" s="189"/>
      <c r="M1044" s="189"/>
      <c r="N1044" s="189"/>
      <c r="O1044" s="189"/>
      <c r="P1044" s="189"/>
      <c r="Q1044" s="189"/>
      <c r="R1044" s="189"/>
      <c r="S1044" s="189"/>
      <c r="T1044" s="189"/>
      <c r="U1044" s="189"/>
      <c r="V1044" s="189"/>
      <c r="W1044" s="189"/>
      <c r="X1044" s="189"/>
      <c r="Y1044" s="189"/>
      <c r="Z1044" s="189"/>
    </row>
    <row r="1045">
      <c r="A1045" s="189"/>
      <c r="B1045" s="190"/>
      <c r="C1045" s="189"/>
      <c r="D1045" s="189"/>
      <c r="E1045" s="189"/>
      <c r="F1045" s="189"/>
      <c r="G1045" s="189"/>
      <c r="H1045" s="189"/>
      <c r="I1045" s="189"/>
      <c r="J1045" s="189"/>
      <c r="K1045" s="189"/>
      <c r="L1045" s="189"/>
      <c r="M1045" s="189"/>
      <c r="N1045" s="189"/>
      <c r="O1045" s="189"/>
      <c r="P1045" s="189"/>
      <c r="Q1045" s="189"/>
      <c r="R1045" s="189"/>
      <c r="S1045" s="189"/>
      <c r="T1045" s="189"/>
      <c r="U1045" s="189"/>
      <c r="V1045" s="189"/>
      <c r="W1045" s="189"/>
      <c r="X1045" s="189"/>
      <c r="Y1045" s="189"/>
      <c r="Z1045" s="189"/>
    </row>
    <row r="1046">
      <c r="A1046" s="189"/>
      <c r="B1046" s="190"/>
      <c r="C1046" s="189"/>
      <c r="D1046" s="189"/>
      <c r="E1046" s="189"/>
      <c r="F1046" s="189"/>
      <c r="G1046" s="189"/>
      <c r="H1046" s="189"/>
      <c r="I1046" s="189"/>
      <c r="J1046" s="189"/>
      <c r="K1046" s="189"/>
      <c r="L1046" s="189"/>
      <c r="M1046" s="189"/>
      <c r="N1046" s="189"/>
      <c r="O1046" s="189"/>
      <c r="P1046" s="189"/>
      <c r="Q1046" s="189"/>
      <c r="R1046" s="189"/>
      <c r="S1046" s="189"/>
      <c r="T1046" s="189"/>
      <c r="U1046" s="189"/>
      <c r="V1046" s="189"/>
      <c r="W1046" s="189"/>
      <c r="X1046" s="189"/>
      <c r="Y1046" s="189"/>
      <c r="Z1046" s="189"/>
    </row>
    <row r="1047">
      <c r="A1047" s="189"/>
      <c r="B1047" s="190"/>
      <c r="C1047" s="189"/>
      <c r="D1047" s="189"/>
      <c r="E1047" s="189"/>
      <c r="F1047" s="189"/>
      <c r="G1047" s="189"/>
      <c r="H1047" s="189"/>
      <c r="I1047" s="189"/>
      <c r="J1047" s="189"/>
      <c r="K1047" s="189"/>
      <c r="L1047" s="189"/>
      <c r="M1047" s="189"/>
      <c r="N1047" s="189"/>
      <c r="O1047" s="189"/>
      <c r="P1047" s="189"/>
      <c r="Q1047" s="189"/>
      <c r="R1047" s="189"/>
      <c r="S1047" s="189"/>
      <c r="T1047" s="189"/>
      <c r="U1047" s="189"/>
      <c r="V1047" s="189"/>
      <c r="W1047" s="189"/>
      <c r="X1047" s="189"/>
      <c r="Y1047" s="189"/>
      <c r="Z1047" s="189"/>
    </row>
    <row r="1048">
      <c r="A1048" s="189"/>
      <c r="B1048" s="190"/>
      <c r="C1048" s="189"/>
      <c r="D1048" s="189"/>
      <c r="E1048" s="189"/>
      <c r="F1048" s="189"/>
      <c r="G1048" s="189"/>
      <c r="H1048" s="189"/>
      <c r="I1048" s="189"/>
      <c r="J1048" s="189"/>
      <c r="K1048" s="189"/>
      <c r="L1048" s="189"/>
      <c r="M1048" s="189"/>
      <c r="N1048" s="189"/>
      <c r="O1048" s="189"/>
      <c r="P1048" s="189"/>
      <c r="Q1048" s="189"/>
      <c r="R1048" s="189"/>
      <c r="S1048" s="189"/>
      <c r="T1048" s="189"/>
      <c r="U1048" s="189"/>
      <c r="V1048" s="189"/>
      <c r="W1048" s="189"/>
      <c r="X1048" s="189"/>
      <c r="Y1048" s="189"/>
      <c r="Z1048" s="189"/>
    </row>
    <row r="1049">
      <c r="A1049" s="189"/>
      <c r="B1049" s="190"/>
      <c r="C1049" s="189"/>
      <c r="D1049" s="189"/>
      <c r="E1049" s="189"/>
      <c r="F1049" s="189"/>
      <c r="G1049" s="189"/>
      <c r="H1049" s="189"/>
      <c r="I1049" s="189"/>
      <c r="J1049" s="189"/>
      <c r="K1049" s="189"/>
      <c r="L1049" s="189"/>
      <c r="M1049" s="189"/>
      <c r="N1049" s="189"/>
      <c r="O1049" s="189"/>
      <c r="P1049" s="189"/>
      <c r="Q1049" s="189"/>
      <c r="R1049" s="189"/>
      <c r="S1049" s="189"/>
      <c r="T1049" s="189"/>
      <c r="U1049" s="189"/>
      <c r="V1049" s="189"/>
      <c r="W1049" s="189"/>
      <c r="X1049" s="189"/>
      <c r="Y1049" s="189"/>
      <c r="Z1049" s="189"/>
    </row>
    <row r="1050">
      <c r="A1050" s="189"/>
      <c r="B1050" s="190"/>
      <c r="C1050" s="189"/>
      <c r="D1050" s="189"/>
      <c r="E1050" s="189"/>
      <c r="F1050" s="189"/>
      <c r="G1050" s="189"/>
      <c r="H1050" s="189"/>
      <c r="I1050" s="189"/>
      <c r="J1050" s="189"/>
      <c r="K1050" s="189"/>
      <c r="L1050" s="189"/>
      <c r="M1050" s="189"/>
      <c r="N1050" s="189"/>
      <c r="O1050" s="189"/>
      <c r="P1050" s="189"/>
      <c r="Q1050" s="189"/>
      <c r="R1050" s="189"/>
      <c r="S1050" s="189"/>
      <c r="T1050" s="189"/>
      <c r="U1050" s="189"/>
      <c r="V1050" s="189"/>
      <c r="W1050" s="189"/>
      <c r="X1050" s="189"/>
      <c r="Y1050" s="189"/>
      <c r="Z1050" s="189"/>
    </row>
    <row r="1051">
      <c r="A1051" s="189"/>
      <c r="B1051" s="190"/>
      <c r="C1051" s="189"/>
      <c r="D1051" s="189"/>
      <c r="E1051" s="189"/>
      <c r="F1051" s="189"/>
      <c r="G1051" s="189"/>
      <c r="H1051" s="189"/>
      <c r="I1051" s="189"/>
      <c r="J1051" s="189"/>
      <c r="K1051" s="189"/>
      <c r="L1051" s="189"/>
      <c r="M1051" s="189"/>
      <c r="N1051" s="189"/>
      <c r="O1051" s="189"/>
      <c r="P1051" s="189"/>
      <c r="Q1051" s="189"/>
      <c r="R1051" s="189"/>
      <c r="S1051" s="189"/>
      <c r="T1051" s="189"/>
      <c r="U1051" s="189"/>
      <c r="V1051" s="189"/>
      <c r="W1051" s="189"/>
      <c r="X1051" s="189"/>
      <c r="Y1051" s="189"/>
      <c r="Z1051" s="189"/>
    </row>
    <row r="1052">
      <c r="A1052" s="189"/>
      <c r="B1052" s="190"/>
      <c r="C1052" s="189"/>
      <c r="D1052" s="189"/>
      <c r="E1052" s="189"/>
      <c r="F1052" s="189"/>
      <c r="G1052" s="189"/>
      <c r="H1052" s="189"/>
      <c r="I1052" s="189"/>
      <c r="J1052" s="189"/>
      <c r="K1052" s="189"/>
      <c r="L1052" s="189"/>
      <c r="M1052" s="189"/>
      <c r="N1052" s="189"/>
      <c r="O1052" s="189"/>
      <c r="P1052" s="189"/>
      <c r="Q1052" s="189"/>
      <c r="R1052" s="189"/>
      <c r="S1052" s="189"/>
      <c r="T1052" s="189"/>
      <c r="U1052" s="189"/>
      <c r="V1052" s="189"/>
      <c r="W1052" s="189"/>
      <c r="X1052" s="189"/>
      <c r="Y1052" s="189"/>
      <c r="Z1052" s="189"/>
    </row>
    <row r="1053">
      <c r="A1053" s="189"/>
      <c r="B1053" s="190"/>
      <c r="C1053" s="189"/>
      <c r="D1053" s="189"/>
      <c r="E1053" s="189"/>
      <c r="F1053" s="189"/>
      <c r="G1053" s="189"/>
      <c r="H1053" s="189"/>
      <c r="I1053" s="189"/>
      <c r="J1053" s="189"/>
      <c r="K1053" s="189"/>
      <c r="L1053" s="189"/>
      <c r="M1053" s="189"/>
      <c r="N1053" s="189"/>
      <c r="O1053" s="189"/>
      <c r="P1053" s="189"/>
      <c r="Q1053" s="189"/>
      <c r="R1053" s="189"/>
      <c r="S1053" s="189"/>
      <c r="T1053" s="189"/>
      <c r="U1053" s="189"/>
      <c r="V1053" s="189"/>
      <c r="W1053" s="189"/>
      <c r="X1053" s="189"/>
      <c r="Y1053" s="189"/>
      <c r="Z1053" s="189"/>
    </row>
    <row r="1054">
      <c r="A1054" s="189"/>
      <c r="B1054" s="190"/>
      <c r="C1054" s="189"/>
      <c r="D1054" s="189"/>
      <c r="E1054" s="189"/>
      <c r="F1054" s="189"/>
      <c r="G1054" s="189"/>
      <c r="H1054" s="189"/>
      <c r="I1054" s="189"/>
      <c r="J1054" s="189"/>
      <c r="K1054" s="189"/>
      <c r="L1054" s="189"/>
      <c r="M1054" s="189"/>
      <c r="N1054" s="189"/>
      <c r="O1054" s="189"/>
      <c r="P1054" s="189"/>
      <c r="Q1054" s="189"/>
      <c r="R1054" s="189"/>
      <c r="S1054" s="189"/>
      <c r="T1054" s="189"/>
      <c r="U1054" s="189"/>
      <c r="V1054" s="189"/>
      <c r="W1054" s="189"/>
      <c r="X1054" s="189"/>
      <c r="Y1054" s="189"/>
      <c r="Z1054" s="189"/>
    </row>
    <row r="1055">
      <c r="A1055" s="189"/>
      <c r="B1055" s="190"/>
      <c r="C1055" s="189"/>
      <c r="D1055" s="189"/>
      <c r="E1055" s="189"/>
      <c r="F1055" s="189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89"/>
      <c r="Q1055" s="189"/>
      <c r="R1055" s="189"/>
      <c r="S1055" s="189"/>
      <c r="T1055" s="189"/>
      <c r="U1055" s="189"/>
      <c r="V1055" s="189"/>
      <c r="W1055" s="189"/>
      <c r="X1055" s="189"/>
      <c r="Y1055" s="189"/>
      <c r="Z1055" s="189"/>
    </row>
    <row r="1056">
      <c r="A1056" s="189"/>
      <c r="B1056" s="190"/>
      <c r="C1056" s="189"/>
      <c r="D1056" s="189"/>
      <c r="E1056" s="189"/>
      <c r="F1056" s="189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89"/>
      <c r="Q1056" s="189"/>
      <c r="R1056" s="189"/>
      <c r="S1056" s="189"/>
      <c r="T1056" s="189"/>
      <c r="U1056" s="189"/>
      <c r="V1056" s="189"/>
      <c r="W1056" s="189"/>
      <c r="X1056" s="189"/>
      <c r="Y1056" s="189"/>
      <c r="Z1056" s="189"/>
    </row>
    <row r="1057">
      <c r="A1057" s="189"/>
      <c r="B1057" s="190"/>
      <c r="C1057" s="189"/>
      <c r="D1057" s="189"/>
      <c r="E1057" s="189"/>
      <c r="F1057" s="189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89"/>
      <c r="Q1057" s="189"/>
      <c r="R1057" s="189"/>
      <c r="S1057" s="189"/>
      <c r="T1057" s="189"/>
      <c r="U1057" s="189"/>
      <c r="V1057" s="189"/>
      <c r="W1057" s="189"/>
      <c r="X1057" s="189"/>
      <c r="Y1057" s="189"/>
      <c r="Z1057" s="189"/>
    </row>
    <row r="1058">
      <c r="A1058" s="189"/>
      <c r="B1058" s="190"/>
      <c r="C1058" s="189"/>
      <c r="D1058" s="189"/>
      <c r="E1058" s="189"/>
      <c r="F1058" s="189"/>
      <c r="G1058" s="189"/>
      <c r="H1058" s="189"/>
      <c r="I1058" s="189"/>
      <c r="J1058" s="189"/>
      <c r="K1058" s="189"/>
      <c r="L1058" s="189"/>
      <c r="M1058" s="189"/>
      <c r="N1058" s="189"/>
      <c r="O1058" s="189"/>
      <c r="P1058" s="189"/>
      <c r="Q1058" s="189"/>
      <c r="R1058" s="189"/>
      <c r="S1058" s="189"/>
      <c r="T1058" s="189"/>
      <c r="U1058" s="189"/>
      <c r="V1058" s="189"/>
      <c r="W1058" s="189"/>
      <c r="X1058" s="189"/>
      <c r="Y1058" s="189"/>
      <c r="Z1058" s="189"/>
    </row>
    <row r="1059">
      <c r="A1059" s="189"/>
      <c r="B1059" s="190"/>
      <c r="C1059" s="189"/>
      <c r="D1059" s="189"/>
      <c r="E1059" s="189"/>
      <c r="F1059" s="189"/>
      <c r="G1059" s="189"/>
      <c r="H1059" s="189"/>
      <c r="I1059" s="189"/>
      <c r="J1059" s="189"/>
      <c r="K1059" s="189"/>
      <c r="L1059" s="189"/>
      <c r="M1059" s="189"/>
      <c r="N1059" s="189"/>
      <c r="O1059" s="189"/>
      <c r="P1059" s="189"/>
      <c r="Q1059" s="189"/>
      <c r="R1059" s="189"/>
      <c r="S1059" s="189"/>
      <c r="T1059" s="189"/>
      <c r="U1059" s="189"/>
      <c r="V1059" s="189"/>
      <c r="W1059" s="189"/>
      <c r="X1059" s="189"/>
      <c r="Y1059" s="189"/>
      <c r="Z1059" s="189"/>
    </row>
    <row r="1060">
      <c r="A1060" s="189"/>
      <c r="B1060" s="190"/>
      <c r="C1060" s="189"/>
      <c r="D1060" s="189"/>
      <c r="E1060" s="189"/>
      <c r="F1060" s="189"/>
      <c r="G1060" s="189"/>
      <c r="H1060" s="189"/>
      <c r="I1060" s="189"/>
      <c r="J1060" s="189"/>
      <c r="K1060" s="189"/>
      <c r="L1060" s="189"/>
      <c r="M1060" s="189"/>
      <c r="N1060" s="189"/>
      <c r="O1060" s="189"/>
      <c r="P1060" s="189"/>
      <c r="Q1060" s="189"/>
      <c r="R1060" s="189"/>
      <c r="S1060" s="189"/>
      <c r="T1060" s="189"/>
      <c r="U1060" s="189"/>
      <c r="V1060" s="189"/>
      <c r="W1060" s="189"/>
      <c r="X1060" s="189"/>
      <c r="Y1060" s="189"/>
      <c r="Z1060" s="189"/>
    </row>
    <row r="1061">
      <c r="A1061" s="189"/>
      <c r="B1061" s="190"/>
      <c r="C1061" s="189"/>
      <c r="D1061" s="189"/>
      <c r="E1061" s="189"/>
      <c r="F1061" s="189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89"/>
      <c r="Q1061" s="189"/>
      <c r="R1061" s="189"/>
      <c r="S1061" s="189"/>
      <c r="T1061" s="189"/>
      <c r="U1061" s="189"/>
      <c r="V1061" s="189"/>
      <c r="W1061" s="189"/>
      <c r="X1061" s="189"/>
      <c r="Y1061" s="189"/>
      <c r="Z1061" s="189"/>
    </row>
    <row r="1062">
      <c r="A1062" s="189"/>
      <c r="B1062" s="190"/>
      <c r="C1062" s="189"/>
      <c r="D1062" s="189"/>
      <c r="E1062" s="189"/>
      <c r="F1062" s="189"/>
      <c r="G1062" s="189"/>
      <c r="H1062" s="189"/>
      <c r="I1062" s="189"/>
      <c r="J1062" s="189"/>
      <c r="K1062" s="189"/>
      <c r="L1062" s="189"/>
      <c r="M1062" s="189"/>
      <c r="N1062" s="189"/>
      <c r="O1062" s="189"/>
      <c r="P1062" s="189"/>
      <c r="Q1062" s="189"/>
      <c r="R1062" s="189"/>
      <c r="S1062" s="189"/>
      <c r="T1062" s="189"/>
      <c r="U1062" s="189"/>
      <c r="V1062" s="189"/>
      <c r="W1062" s="189"/>
      <c r="X1062" s="189"/>
      <c r="Y1062" s="189"/>
      <c r="Z1062" s="189"/>
    </row>
    <row r="1063">
      <c r="A1063" s="189"/>
      <c r="B1063" s="190"/>
      <c r="C1063" s="189"/>
      <c r="D1063" s="189"/>
      <c r="E1063" s="189"/>
      <c r="F1063" s="189"/>
      <c r="G1063" s="189"/>
      <c r="H1063" s="189"/>
      <c r="I1063" s="189"/>
      <c r="J1063" s="189"/>
      <c r="K1063" s="189"/>
      <c r="L1063" s="189"/>
      <c r="M1063" s="189"/>
      <c r="N1063" s="189"/>
      <c r="O1063" s="189"/>
      <c r="P1063" s="189"/>
      <c r="Q1063" s="189"/>
      <c r="R1063" s="189"/>
      <c r="S1063" s="189"/>
      <c r="T1063" s="189"/>
      <c r="U1063" s="189"/>
      <c r="V1063" s="189"/>
      <c r="W1063" s="189"/>
      <c r="X1063" s="189"/>
      <c r="Y1063" s="189"/>
      <c r="Z1063" s="189"/>
    </row>
    <row r="1064">
      <c r="A1064" s="189"/>
      <c r="B1064" s="190"/>
      <c r="C1064" s="189"/>
      <c r="D1064" s="189"/>
      <c r="E1064" s="189"/>
      <c r="F1064" s="189"/>
      <c r="G1064" s="189"/>
      <c r="H1064" s="189"/>
      <c r="I1064" s="189"/>
      <c r="J1064" s="189"/>
      <c r="K1064" s="189"/>
      <c r="L1064" s="189"/>
      <c r="M1064" s="189"/>
      <c r="N1064" s="189"/>
      <c r="O1064" s="189"/>
      <c r="P1064" s="189"/>
      <c r="Q1064" s="189"/>
      <c r="R1064" s="189"/>
      <c r="S1064" s="189"/>
      <c r="T1064" s="189"/>
      <c r="U1064" s="189"/>
      <c r="V1064" s="189"/>
      <c r="W1064" s="189"/>
      <c r="X1064" s="189"/>
      <c r="Y1064" s="189"/>
      <c r="Z1064" s="189"/>
    </row>
    <row r="1065">
      <c r="A1065" s="189"/>
      <c r="B1065" s="190"/>
      <c r="C1065" s="189"/>
      <c r="D1065" s="189"/>
      <c r="E1065" s="189"/>
      <c r="F1065" s="189"/>
      <c r="G1065" s="189"/>
      <c r="H1065" s="189"/>
      <c r="I1065" s="189"/>
      <c r="J1065" s="189"/>
      <c r="K1065" s="189"/>
      <c r="L1065" s="189"/>
      <c r="M1065" s="189"/>
      <c r="N1065" s="189"/>
      <c r="O1065" s="189"/>
      <c r="P1065" s="189"/>
      <c r="Q1065" s="189"/>
      <c r="R1065" s="189"/>
      <c r="S1065" s="189"/>
      <c r="T1065" s="189"/>
      <c r="U1065" s="189"/>
      <c r="V1065" s="189"/>
      <c r="W1065" s="189"/>
      <c r="X1065" s="189"/>
      <c r="Y1065" s="189"/>
      <c r="Z1065" s="189"/>
    </row>
    <row r="1066">
      <c r="A1066" s="189"/>
      <c r="B1066" s="190"/>
      <c r="C1066" s="189"/>
      <c r="D1066" s="189"/>
      <c r="E1066" s="189"/>
      <c r="F1066" s="189"/>
      <c r="G1066" s="189"/>
      <c r="H1066" s="189"/>
      <c r="I1066" s="189"/>
      <c r="J1066" s="189"/>
      <c r="K1066" s="189"/>
      <c r="L1066" s="189"/>
      <c r="M1066" s="189"/>
      <c r="N1066" s="189"/>
      <c r="O1066" s="189"/>
      <c r="P1066" s="189"/>
      <c r="Q1066" s="189"/>
      <c r="R1066" s="189"/>
      <c r="S1066" s="189"/>
      <c r="T1066" s="189"/>
      <c r="U1066" s="189"/>
      <c r="V1066" s="189"/>
      <c r="W1066" s="189"/>
      <c r="X1066" s="189"/>
      <c r="Y1066" s="189"/>
      <c r="Z1066" s="189"/>
    </row>
    <row r="1067">
      <c r="A1067" s="189"/>
      <c r="B1067" s="190"/>
      <c r="C1067" s="189"/>
      <c r="D1067" s="189"/>
      <c r="E1067" s="189"/>
      <c r="F1067" s="189"/>
      <c r="G1067" s="189"/>
      <c r="H1067" s="189"/>
      <c r="I1067" s="189"/>
      <c r="J1067" s="189"/>
      <c r="K1067" s="189"/>
      <c r="L1067" s="189"/>
      <c r="M1067" s="189"/>
      <c r="N1067" s="189"/>
      <c r="O1067" s="189"/>
      <c r="P1067" s="189"/>
      <c r="Q1067" s="189"/>
      <c r="R1067" s="189"/>
      <c r="S1067" s="189"/>
      <c r="T1067" s="189"/>
      <c r="U1067" s="189"/>
      <c r="V1067" s="189"/>
      <c r="W1067" s="189"/>
      <c r="X1067" s="189"/>
      <c r="Y1067" s="189"/>
      <c r="Z1067" s="189"/>
    </row>
    <row r="1068">
      <c r="A1068" s="189"/>
      <c r="B1068" s="190"/>
      <c r="C1068" s="189"/>
      <c r="D1068" s="189"/>
      <c r="E1068" s="189"/>
      <c r="F1068" s="189"/>
      <c r="G1068" s="189"/>
      <c r="H1068" s="189"/>
      <c r="I1068" s="189"/>
      <c r="J1068" s="189"/>
      <c r="K1068" s="189"/>
      <c r="L1068" s="189"/>
      <c r="M1068" s="189"/>
      <c r="N1068" s="189"/>
      <c r="O1068" s="189"/>
      <c r="P1068" s="189"/>
      <c r="Q1068" s="189"/>
      <c r="R1068" s="189"/>
      <c r="S1068" s="189"/>
      <c r="T1068" s="189"/>
      <c r="U1068" s="189"/>
      <c r="V1068" s="189"/>
      <c r="W1068" s="189"/>
      <c r="X1068" s="189"/>
      <c r="Y1068" s="189"/>
      <c r="Z1068" s="189"/>
    </row>
    <row r="1069">
      <c r="A1069" s="189"/>
      <c r="B1069" s="190"/>
      <c r="C1069" s="189"/>
      <c r="D1069" s="189"/>
      <c r="E1069" s="189"/>
      <c r="F1069" s="189"/>
      <c r="G1069" s="189"/>
      <c r="H1069" s="189"/>
      <c r="I1069" s="189"/>
      <c r="J1069" s="189"/>
      <c r="K1069" s="189"/>
      <c r="L1069" s="189"/>
      <c r="M1069" s="189"/>
      <c r="N1069" s="189"/>
      <c r="O1069" s="189"/>
      <c r="P1069" s="189"/>
      <c r="Q1069" s="189"/>
      <c r="R1069" s="189"/>
      <c r="S1069" s="189"/>
      <c r="T1069" s="189"/>
      <c r="U1069" s="189"/>
      <c r="V1069" s="189"/>
      <c r="W1069" s="189"/>
      <c r="X1069" s="189"/>
      <c r="Y1069" s="189"/>
      <c r="Z1069" s="189"/>
    </row>
    <row r="1070">
      <c r="A1070" s="189"/>
      <c r="B1070" s="190"/>
      <c r="C1070" s="189"/>
      <c r="D1070" s="189"/>
      <c r="E1070" s="189"/>
      <c r="F1070" s="189"/>
      <c r="G1070" s="189"/>
      <c r="H1070" s="189"/>
      <c r="I1070" s="189"/>
      <c r="J1070" s="189"/>
      <c r="K1070" s="189"/>
      <c r="L1070" s="189"/>
      <c r="M1070" s="189"/>
      <c r="N1070" s="189"/>
      <c r="O1070" s="189"/>
      <c r="P1070" s="189"/>
      <c r="Q1070" s="189"/>
      <c r="R1070" s="189"/>
      <c r="S1070" s="189"/>
      <c r="T1070" s="189"/>
      <c r="U1070" s="189"/>
      <c r="V1070" s="189"/>
      <c r="W1070" s="189"/>
      <c r="X1070" s="189"/>
      <c r="Y1070" s="189"/>
      <c r="Z1070" s="189"/>
    </row>
    <row r="1071">
      <c r="A1071" s="189"/>
      <c r="B1071" s="190"/>
      <c r="C1071" s="189"/>
      <c r="D1071" s="189"/>
      <c r="E1071" s="189"/>
      <c r="F1071" s="189"/>
      <c r="G1071" s="189"/>
      <c r="H1071" s="189"/>
      <c r="I1071" s="189"/>
      <c r="J1071" s="189"/>
      <c r="K1071" s="189"/>
      <c r="L1071" s="189"/>
      <c r="M1071" s="189"/>
      <c r="N1071" s="189"/>
      <c r="O1071" s="189"/>
      <c r="P1071" s="189"/>
      <c r="Q1071" s="189"/>
      <c r="R1071" s="189"/>
      <c r="S1071" s="189"/>
      <c r="T1071" s="189"/>
      <c r="U1071" s="189"/>
      <c r="V1071" s="189"/>
      <c r="W1071" s="189"/>
      <c r="X1071" s="189"/>
      <c r="Y1071" s="189"/>
      <c r="Z1071" s="189"/>
    </row>
    <row r="1072">
      <c r="A1072" s="189"/>
      <c r="B1072" s="190"/>
      <c r="C1072" s="189"/>
      <c r="D1072" s="189"/>
      <c r="E1072" s="189"/>
      <c r="F1072" s="189"/>
      <c r="G1072" s="189"/>
      <c r="H1072" s="189"/>
      <c r="I1072" s="189"/>
      <c r="J1072" s="189"/>
      <c r="K1072" s="189"/>
      <c r="L1072" s="189"/>
      <c r="M1072" s="189"/>
      <c r="N1072" s="189"/>
      <c r="O1072" s="189"/>
      <c r="P1072" s="189"/>
      <c r="Q1072" s="189"/>
      <c r="R1072" s="189"/>
      <c r="S1072" s="189"/>
      <c r="T1072" s="189"/>
      <c r="U1072" s="189"/>
      <c r="V1072" s="189"/>
      <c r="W1072" s="189"/>
      <c r="X1072" s="189"/>
      <c r="Y1072" s="189"/>
      <c r="Z1072" s="189"/>
    </row>
    <row r="1073">
      <c r="A1073" s="189"/>
      <c r="B1073" s="190"/>
      <c r="C1073" s="189"/>
      <c r="D1073" s="189"/>
      <c r="E1073" s="189"/>
      <c r="F1073" s="189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89"/>
      <c r="Q1073" s="189"/>
      <c r="R1073" s="189"/>
      <c r="S1073" s="189"/>
      <c r="T1073" s="189"/>
      <c r="U1073" s="189"/>
      <c r="V1073" s="189"/>
      <c r="W1073" s="189"/>
      <c r="X1073" s="189"/>
      <c r="Y1073" s="189"/>
      <c r="Z1073" s="189"/>
    </row>
    <row r="1074">
      <c r="A1074" s="189"/>
      <c r="B1074" s="190"/>
      <c r="C1074" s="189"/>
      <c r="D1074" s="189"/>
      <c r="E1074" s="189"/>
      <c r="F1074" s="189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89"/>
      <c r="Q1074" s="189"/>
      <c r="R1074" s="189"/>
      <c r="S1074" s="189"/>
      <c r="T1074" s="189"/>
      <c r="U1074" s="189"/>
      <c r="V1074" s="189"/>
      <c r="W1074" s="189"/>
      <c r="X1074" s="189"/>
      <c r="Y1074" s="189"/>
      <c r="Z1074" s="189"/>
    </row>
    <row r="1075">
      <c r="A1075" s="189"/>
      <c r="B1075" s="190"/>
      <c r="C1075" s="189"/>
      <c r="D1075" s="189"/>
      <c r="E1075" s="189"/>
      <c r="F1075" s="189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89"/>
      <c r="Q1075" s="189"/>
      <c r="R1075" s="189"/>
      <c r="S1075" s="189"/>
      <c r="T1075" s="189"/>
      <c r="U1075" s="189"/>
      <c r="V1075" s="189"/>
      <c r="W1075" s="189"/>
      <c r="X1075" s="189"/>
      <c r="Y1075" s="189"/>
      <c r="Z1075" s="189"/>
    </row>
    <row r="1076">
      <c r="A1076" s="189"/>
      <c r="B1076" s="190"/>
      <c r="C1076" s="189"/>
      <c r="D1076" s="189"/>
      <c r="E1076" s="189"/>
      <c r="F1076" s="189"/>
      <c r="G1076" s="189"/>
      <c r="H1076" s="189"/>
      <c r="I1076" s="189"/>
      <c r="J1076" s="189"/>
      <c r="K1076" s="189"/>
      <c r="L1076" s="189"/>
      <c r="M1076" s="189"/>
      <c r="N1076" s="189"/>
      <c r="O1076" s="189"/>
      <c r="P1076" s="189"/>
      <c r="Q1076" s="189"/>
      <c r="R1076" s="189"/>
      <c r="S1076" s="189"/>
      <c r="T1076" s="189"/>
      <c r="U1076" s="189"/>
      <c r="V1076" s="189"/>
      <c r="W1076" s="189"/>
      <c r="X1076" s="189"/>
      <c r="Y1076" s="189"/>
      <c r="Z1076" s="189"/>
    </row>
    <row r="1077">
      <c r="A1077" s="189"/>
      <c r="B1077" s="190"/>
      <c r="C1077" s="189"/>
      <c r="D1077" s="189"/>
      <c r="E1077" s="189"/>
      <c r="F1077" s="189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89"/>
      <c r="Q1077" s="189"/>
      <c r="R1077" s="189"/>
      <c r="S1077" s="189"/>
      <c r="T1077" s="189"/>
      <c r="U1077" s="189"/>
      <c r="V1077" s="189"/>
      <c r="W1077" s="189"/>
      <c r="X1077" s="189"/>
      <c r="Y1077" s="189"/>
      <c r="Z1077" s="189"/>
    </row>
    <row r="1078">
      <c r="A1078" s="189"/>
      <c r="B1078" s="190"/>
      <c r="C1078" s="189"/>
      <c r="D1078" s="189"/>
      <c r="E1078" s="189"/>
      <c r="F1078" s="189"/>
      <c r="G1078" s="189"/>
      <c r="H1078" s="189"/>
      <c r="I1078" s="189"/>
      <c r="J1078" s="189"/>
      <c r="K1078" s="189"/>
      <c r="L1078" s="189"/>
      <c r="M1078" s="189"/>
      <c r="N1078" s="189"/>
      <c r="O1078" s="189"/>
      <c r="P1078" s="189"/>
      <c r="Q1078" s="189"/>
      <c r="R1078" s="189"/>
      <c r="S1078" s="189"/>
      <c r="T1078" s="189"/>
      <c r="U1078" s="189"/>
      <c r="V1078" s="189"/>
      <c r="W1078" s="189"/>
      <c r="X1078" s="189"/>
      <c r="Y1078" s="189"/>
      <c r="Z1078" s="189"/>
    </row>
    <row r="1079">
      <c r="A1079" s="189"/>
      <c r="B1079" s="190"/>
      <c r="C1079" s="189"/>
      <c r="D1079" s="189"/>
      <c r="E1079" s="189"/>
      <c r="F1079" s="189"/>
      <c r="G1079" s="189"/>
      <c r="H1079" s="189"/>
      <c r="I1079" s="189"/>
      <c r="J1079" s="189"/>
      <c r="K1079" s="189"/>
      <c r="L1079" s="189"/>
      <c r="M1079" s="189"/>
      <c r="N1079" s="189"/>
      <c r="O1079" s="189"/>
      <c r="P1079" s="189"/>
      <c r="Q1079" s="189"/>
      <c r="R1079" s="189"/>
      <c r="S1079" s="189"/>
      <c r="T1079" s="189"/>
      <c r="U1079" s="189"/>
      <c r="V1079" s="189"/>
      <c r="W1079" s="189"/>
      <c r="X1079" s="189"/>
      <c r="Y1079" s="189"/>
      <c r="Z1079" s="189"/>
    </row>
    <row r="1080">
      <c r="A1080" s="189"/>
      <c r="B1080" s="190"/>
      <c r="C1080" s="189"/>
      <c r="D1080" s="189"/>
      <c r="E1080" s="189"/>
      <c r="F1080" s="189"/>
      <c r="G1080" s="189"/>
      <c r="H1080" s="189"/>
      <c r="I1080" s="189"/>
      <c r="J1080" s="189"/>
      <c r="K1080" s="189"/>
      <c r="L1080" s="189"/>
      <c r="M1080" s="189"/>
      <c r="N1080" s="189"/>
      <c r="O1080" s="189"/>
      <c r="P1080" s="189"/>
      <c r="Q1080" s="189"/>
      <c r="R1080" s="189"/>
      <c r="S1080" s="189"/>
      <c r="T1080" s="189"/>
      <c r="U1080" s="189"/>
      <c r="V1080" s="189"/>
      <c r="W1080" s="189"/>
      <c r="X1080" s="189"/>
      <c r="Y1080" s="189"/>
      <c r="Z1080" s="189"/>
    </row>
    <row r="1081">
      <c r="A1081" s="189"/>
      <c r="B1081" s="190"/>
      <c r="C1081" s="189"/>
      <c r="D1081" s="189"/>
      <c r="E1081" s="189"/>
      <c r="F1081" s="189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89"/>
      <c r="Q1081" s="189"/>
      <c r="R1081" s="189"/>
      <c r="S1081" s="189"/>
      <c r="T1081" s="189"/>
      <c r="U1081" s="189"/>
      <c r="V1081" s="189"/>
      <c r="W1081" s="189"/>
      <c r="X1081" s="189"/>
      <c r="Y1081" s="189"/>
      <c r="Z1081" s="189"/>
    </row>
    <row r="1082">
      <c r="A1082" s="189"/>
      <c r="B1082" s="190"/>
      <c r="C1082" s="189"/>
      <c r="D1082" s="189"/>
      <c r="E1082" s="189"/>
      <c r="F1082" s="189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89"/>
      <c r="Q1082" s="189"/>
      <c r="R1082" s="189"/>
      <c r="S1082" s="189"/>
      <c r="T1082" s="189"/>
      <c r="U1082" s="189"/>
      <c r="V1082" s="189"/>
      <c r="W1082" s="189"/>
      <c r="X1082" s="189"/>
      <c r="Y1082" s="189"/>
      <c r="Z1082" s="189"/>
    </row>
    <row r="1083">
      <c r="A1083" s="189"/>
      <c r="B1083" s="190"/>
      <c r="C1083" s="189"/>
      <c r="D1083" s="189"/>
      <c r="E1083" s="189"/>
      <c r="F1083" s="189"/>
      <c r="G1083" s="189"/>
      <c r="H1083" s="189"/>
      <c r="I1083" s="189"/>
      <c r="J1083" s="189"/>
      <c r="K1083" s="189"/>
      <c r="L1083" s="189"/>
      <c r="M1083" s="189"/>
      <c r="N1083" s="189"/>
      <c r="O1083" s="189"/>
      <c r="P1083" s="189"/>
      <c r="Q1083" s="189"/>
      <c r="R1083" s="189"/>
      <c r="S1083" s="189"/>
      <c r="T1083" s="189"/>
      <c r="U1083" s="189"/>
      <c r="V1083" s="189"/>
      <c r="W1083" s="189"/>
      <c r="X1083" s="189"/>
      <c r="Y1083" s="189"/>
      <c r="Z1083" s="189"/>
    </row>
    <row r="1084">
      <c r="A1084" s="189"/>
      <c r="B1084" s="190"/>
      <c r="C1084" s="189"/>
      <c r="D1084" s="189"/>
      <c r="E1084" s="189"/>
      <c r="F1084" s="189"/>
      <c r="G1084" s="189"/>
      <c r="H1084" s="189"/>
      <c r="I1084" s="189"/>
      <c r="J1084" s="189"/>
      <c r="K1084" s="189"/>
      <c r="L1084" s="189"/>
      <c r="M1084" s="189"/>
      <c r="N1084" s="189"/>
      <c r="O1084" s="189"/>
      <c r="P1084" s="189"/>
      <c r="Q1084" s="189"/>
      <c r="R1084" s="189"/>
      <c r="S1084" s="189"/>
      <c r="T1084" s="189"/>
      <c r="U1084" s="189"/>
      <c r="V1084" s="189"/>
      <c r="W1084" s="189"/>
      <c r="X1084" s="189"/>
      <c r="Y1084" s="189"/>
      <c r="Z1084" s="189"/>
    </row>
    <row r="1085">
      <c r="A1085" s="189"/>
      <c r="B1085" s="190"/>
      <c r="C1085" s="189"/>
      <c r="D1085" s="189"/>
      <c r="E1085" s="189"/>
      <c r="F1085" s="189"/>
      <c r="G1085" s="189"/>
      <c r="H1085" s="189"/>
      <c r="I1085" s="189"/>
      <c r="J1085" s="189"/>
      <c r="K1085" s="189"/>
      <c r="L1085" s="189"/>
      <c r="M1085" s="189"/>
      <c r="N1085" s="189"/>
      <c r="O1085" s="189"/>
      <c r="P1085" s="189"/>
      <c r="Q1085" s="189"/>
      <c r="R1085" s="189"/>
      <c r="S1085" s="189"/>
      <c r="T1085" s="189"/>
      <c r="U1085" s="189"/>
      <c r="V1085" s="189"/>
      <c r="W1085" s="189"/>
      <c r="X1085" s="189"/>
      <c r="Y1085" s="189"/>
      <c r="Z1085" s="189"/>
    </row>
    <row r="1086">
      <c r="A1086" s="189"/>
      <c r="B1086" s="190"/>
      <c r="C1086" s="189"/>
      <c r="D1086" s="189"/>
      <c r="E1086" s="189"/>
      <c r="F1086" s="189"/>
      <c r="G1086" s="189"/>
      <c r="H1086" s="189"/>
      <c r="I1086" s="189"/>
      <c r="J1086" s="189"/>
      <c r="K1086" s="189"/>
      <c r="L1086" s="189"/>
      <c r="M1086" s="189"/>
      <c r="N1086" s="189"/>
      <c r="O1086" s="189"/>
      <c r="P1086" s="189"/>
      <c r="Q1086" s="189"/>
      <c r="R1086" s="189"/>
      <c r="S1086" s="189"/>
      <c r="T1086" s="189"/>
      <c r="U1086" s="189"/>
      <c r="V1086" s="189"/>
      <c r="W1086" s="189"/>
      <c r="X1086" s="189"/>
      <c r="Y1086" s="189"/>
      <c r="Z1086" s="189"/>
    </row>
    <row r="1087">
      <c r="A1087" s="189"/>
      <c r="B1087" s="190"/>
      <c r="C1087" s="189"/>
      <c r="D1087" s="189"/>
      <c r="E1087" s="189"/>
      <c r="F1087" s="189"/>
      <c r="G1087" s="189"/>
      <c r="H1087" s="189"/>
      <c r="I1087" s="189"/>
      <c r="J1087" s="189"/>
      <c r="K1087" s="189"/>
      <c r="L1087" s="189"/>
      <c r="M1087" s="189"/>
      <c r="N1087" s="189"/>
      <c r="O1087" s="189"/>
      <c r="P1087" s="189"/>
      <c r="Q1087" s="189"/>
      <c r="R1087" s="189"/>
      <c r="S1087" s="189"/>
      <c r="T1087" s="189"/>
      <c r="U1087" s="189"/>
      <c r="V1087" s="189"/>
      <c r="W1087" s="189"/>
      <c r="X1087" s="189"/>
      <c r="Y1087" s="189"/>
      <c r="Z1087" s="189"/>
    </row>
    <row r="1088">
      <c r="A1088" s="189"/>
      <c r="B1088" s="190"/>
      <c r="C1088" s="189"/>
      <c r="D1088" s="189"/>
      <c r="E1088" s="189"/>
      <c r="F1088" s="189"/>
      <c r="G1088" s="189"/>
      <c r="H1088" s="189"/>
      <c r="I1088" s="189"/>
      <c r="J1088" s="189"/>
      <c r="K1088" s="189"/>
      <c r="L1088" s="189"/>
      <c r="M1088" s="189"/>
      <c r="N1088" s="189"/>
      <c r="O1088" s="189"/>
      <c r="P1088" s="189"/>
      <c r="Q1088" s="189"/>
      <c r="R1088" s="189"/>
      <c r="S1088" s="189"/>
      <c r="T1088" s="189"/>
      <c r="U1088" s="189"/>
      <c r="V1088" s="189"/>
      <c r="W1088" s="189"/>
      <c r="X1088" s="189"/>
      <c r="Y1088" s="189"/>
      <c r="Z1088" s="189"/>
    </row>
    <row r="1089">
      <c r="A1089" s="189"/>
      <c r="B1089" s="190"/>
      <c r="C1089" s="189"/>
      <c r="D1089" s="189"/>
      <c r="E1089" s="189"/>
      <c r="F1089" s="189"/>
      <c r="G1089" s="189"/>
      <c r="H1089" s="189"/>
      <c r="I1089" s="189"/>
      <c r="J1089" s="189"/>
      <c r="K1089" s="189"/>
      <c r="L1089" s="189"/>
      <c r="M1089" s="189"/>
      <c r="N1089" s="189"/>
      <c r="O1089" s="189"/>
      <c r="P1089" s="189"/>
      <c r="Q1089" s="189"/>
      <c r="R1089" s="189"/>
      <c r="S1089" s="189"/>
      <c r="T1089" s="189"/>
      <c r="U1089" s="189"/>
      <c r="V1089" s="189"/>
      <c r="W1089" s="189"/>
      <c r="X1089" s="189"/>
      <c r="Y1089" s="189"/>
      <c r="Z1089" s="189"/>
    </row>
    <row r="1090">
      <c r="A1090" s="189"/>
      <c r="B1090" s="190"/>
      <c r="C1090" s="189"/>
      <c r="D1090" s="189"/>
      <c r="E1090" s="189"/>
      <c r="F1090" s="189"/>
      <c r="G1090" s="189"/>
      <c r="H1090" s="189"/>
      <c r="I1090" s="189"/>
      <c r="J1090" s="189"/>
      <c r="K1090" s="189"/>
      <c r="L1090" s="189"/>
      <c r="M1090" s="189"/>
      <c r="N1090" s="189"/>
      <c r="O1090" s="189"/>
      <c r="P1090" s="189"/>
      <c r="Q1090" s="189"/>
      <c r="R1090" s="189"/>
      <c r="S1090" s="189"/>
      <c r="T1090" s="189"/>
      <c r="U1090" s="189"/>
      <c r="V1090" s="189"/>
      <c r="W1090" s="189"/>
      <c r="X1090" s="189"/>
      <c r="Y1090" s="189"/>
      <c r="Z1090" s="189"/>
    </row>
    <row r="1091">
      <c r="A1091" s="189"/>
      <c r="B1091" s="190"/>
      <c r="C1091" s="189"/>
      <c r="D1091" s="189"/>
      <c r="E1091" s="189"/>
      <c r="F1091" s="189"/>
      <c r="G1091" s="189"/>
      <c r="H1091" s="189"/>
      <c r="I1091" s="189"/>
      <c r="J1091" s="189"/>
      <c r="K1091" s="189"/>
      <c r="L1091" s="189"/>
      <c r="M1091" s="189"/>
      <c r="N1091" s="189"/>
      <c r="O1091" s="189"/>
      <c r="P1091" s="189"/>
      <c r="Q1091" s="189"/>
      <c r="R1091" s="189"/>
      <c r="S1091" s="189"/>
      <c r="T1091" s="189"/>
      <c r="U1091" s="189"/>
      <c r="V1091" s="189"/>
      <c r="W1091" s="189"/>
      <c r="X1091" s="189"/>
      <c r="Y1091" s="189"/>
      <c r="Z1091" s="189"/>
    </row>
    <row r="1092">
      <c r="A1092" s="189"/>
      <c r="B1092" s="190"/>
      <c r="C1092" s="189"/>
      <c r="D1092" s="189"/>
      <c r="E1092" s="189"/>
      <c r="F1092" s="189"/>
      <c r="G1092" s="189"/>
      <c r="H1092" s="189"/>
      <c r="I1092" s="189"/>
      <c r="J1092" s="189"/>
      <c r="K1092" s="189"/>
      <c r="L1092" s="189"/>
      <c r="M1092" s="189"/>
      <c r="N1092" s="189"/>
      <c r="O1092" s="189"/>
      <c r="P1092" s="189"/>
      <c r="Q1092" s="189"/>
      <c r="R1092" s="189"/>
      <c r="S1092" s="189"/>
      <c r="T1092" s="189"/>
      <c r="U1092" s="189"/>
      <c r="V1092" s="189"/>
      <c r="W1092" s="189"/>
      <c r="X1092" s="189"/>
      <c r="Y1092" s="189"/>
      <c r="Z1092" s="189"/>
    </row>
    <row r="1093">
      <c r="A1093" s="189"/>
      <c r="B1093" s="190"/>
      <c r="C1093" s="189"/>
      <c r="D1093" s="189"/>
      <c r="E1093" s="189"/>
      <c r="F1093" s="189"/>
      <c r="G1093" s="189"/>
      <c r="H1093" s="189"/>
      <c r="I1093" s="189"/>
      <c r="J1093" s="189"/>
      <c r="K1093" s="189"/>
      <c r="L1093" s="189"/>
      <c r="M1093" s="189"/>
      <c r="N1093" s="189"/>
      <c r="O1093" s="189"/>
      <c r="P1093" s="189"/>
      <c r="Q1093" s="189"/>
      <c r="R1093" s="189"/>
      <c r="S1093" s="189"/>
      <c r="T1093" s="189"/>
      <c r="U1093" s="189"/>
      <c r="V1093" s="189"/>
      <c r="W1093" s="189"/>
      <c r="X1093" s="189"/>
      <c r="Y1093" s="189"/>
      <c r="Z1093" s="189"/>
    </row>
    <row r="1094">
      <c r="A1094" s="189"/>
      <c r="B1094" s="190"/>
      <c r="C1094" s="189"/>
      <c r="D1094" s="189"/>
      <c r="E1094" s="189"/>
      <c r="F1094" s="189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89"/>
      <c r="Q1094" s="189"/>
      <c r="R1094" s="189"/>
      <c r="S1094" s="189"/>
      <c r="T1094" s="189"/>
      <c r="U1094" s="189"/>
      <c r="V1094" s="189"/>
      <c r="W1094" s="189"/>
      <c r="X1094" s="189"/>
      <c r="Y1094" s="189"/>
      <c r="Z1094" s="189"/>
    </row>
    <row r="1095">
      <c r="A1095" s="189"/>
      <c r="B1095" s="190"/>
      <c r="C1095" s="189"/>
      <c r="D1095" s="189"/>
      <c r="E1095" s="189"/>
      <c r="F1095" s="189"/>
      <c r="G1095" s="189"/>
      <c r="H1095" s="189"/>
      <c r="I1095" s="189"/>
      <c r="J1095" s="189"/>
      <c r="K1095" s="189"/>
      <c r="L1095" s="189"/>
      <c r="M1095" s="189"/>
      <c r="N1095" s="189"/>
      <c r="O1095" s="189"/>
      <c r="P1095" s="189"/>
      <c r="Q1095" s="189"/>
      <c r="R1095" s="189"/>
      <c r="S1095" s="189"/>
      <c r="T1095" s="189"/>
      <c r="U1095" s="189"/>
      <c r="V1095" s="189"/>
      <c r="W1095" s="189"/>
      <c r="X1095" s="189"/>
      <c r="Y1095" s="189"/>
      <c r="Z1095" s="189"/>
    </row>
    <row r="1096">
      <c r="A1096" s="189"/>
      <c r="B1096" s="190"/>
      <c r="C1096" s="189"/>
      <c r="D1096" s="189"/>
      <c r="E1096" s="189"/>
      <c r="F1096" s="189"/>
      <c r="G1096" s="189"/>
      <c r="H1096" s="189"/>
      <c r="I1096" s="189"/>
      <c r="J1096" s="189"/>
      <c r="K1096" s="189"/>
      <c r="L1096" s="189"/>
      <c r="M1096" s="189"/>
      <c r="N1096" s="189"/>
      <c r="O1096" s="189"/>
      <c r="P1096" s="189"/>
      <c r="Q1096" s="189"/>
      <c r="R1096" s="189"/>
      <c r="S1096" s="189"/>
      <c r="T1096" s="189"/>
      <c r="U1096" s="189"/>
      <c r="V1096" s="189"/>
      <c r="W1096" s="189"/>
      <c r="X1096" s="189"/>
      <c r="Y1096" s="189"/>
      <c r="Z1096" s="189"/>
    </row>
    <row r="1097">
      <c r="A1097" s="189"/>
      <c r="B1097" s="190"/>
      <c r="C1097" s="189"/>
      <c r="D1097" s="189"/>
      <c r="E1097" s="189"/>
      <c r="F1097" s="189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89"/>
      <c r="Q1097" s="189"/>
      <c r="R1097" s="189"/>
      <c r="S1097" s="189"/>
      <c r="T1097" s="189"/>
      <c r="U1097" s="189"/>
      <c r="V1097" s="189"/>
      <c r="W1097" s="189"/>
      <c r="X1097" s="189"/>
      <c r="Y1097" s="189"/>
      <c r="Z1097" s="189"/>
    </row>
    <row r="1098">
      <c r="A1098" s="189"/>
      <c r="B1098" s="190"/>
      <c r="C1098" s="189"/>
      <c r="D1098" s="189"/>
      <c r="E1098" s="189"/>
      <c r="F1098" s="189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89"/>
      <c r="S1098" s="189"/>
      <c r="T1098" s="189"/>
      <c r="U1098" s="189"/>
      <c r="V1098" s="189"/>
      <c r="W1098" s="189"/>
      <c r="X1098" s="189"/>
      <c r="Y1098" s="189"/>
      <c r="Z1098" s="189"/>
    </row>
    <row r="1099">
      <c r="A1099" s="189"/>
      <c r="B1099" s="190"/>
      <c r="C1099" s="189"/>
      <c r="D1099" s="189"/>
      <c r="E1099" s="189"/>
      <c r="F1099" s="189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89"/>
      <c r="Q1099" s="189"/>
      <c r="R1099" s="189"/>
      <c r="S1099" s="189"/>
      <c r="T1099" s="189"/>
      <c r="U1099" s="189"/>
      <c r="V1099" s="189"/>
      <c r="W1099" s="189"/>
      <c r="X1099" s="189"/>
      <c r="Y1099" s="189"/>
      <c r="Z1099" s="189"/>
    </row>
    <row r="1100">
      <c r="A1100" s="189"/>
      <c r="B1100" s="190"/>
      <c r="C1100" s="189"/>
      <c r="D1100" s="189"/>
      <c r="E1100" s="189"/>
      <c r="F1100" s="189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89"/>
      <c r="S1100" s="189"/>
      <c r="T1100" s="189"/>
      <c r="U1100" s="189"/>
      <c r="V1100" s="189"/>
      <c r="W1100" s="189"/>
      <c r="X1100" s="189"/>
      <c r="Y1100" s="189"/>
      <c r="Z1100" s="189"/>
    </row>
    <row r="1101">
      <c r="A1101" s="189"/>
      <c r="B1101" s="190"/>
      <c r="C1101" s="189"/>
      <c r="D1101" s="189"/>
      <c r="E1101" s="189"/>
      <c r="F1101" s="189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89"/>
      <c r="Q1101" s="189"/>
      <c r="R1101" s="189"/>
      <c r="S1101" s="189"/>
      <c r="T1101" s="189"/>
      <c r="U1101" s="189"/>
      <c r="V1101" s="189"/>
      <c r="W1101" s="189"/>
      <c r="X1101" s="189"/>
      <c r="Y1101" s="189"/>
      <c r="Z1101" s="189"/>
    </row>
    <row r="1102">
      <c r="A1102" s="189"/>
      <c r="B1102" s="190"/>
      <c r="C1102" s="189"/>
      <c r="D1102" s="189"/>
      <c r="E1102" s="189"/>
      <c r="F1102" s="189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89"/>
      <c r="Q1102" s="189"/>
      <c r="R1102" s="189"/>
      <c r="S1102" s="189"/>
      <c r="T1102" s="189"/>
      <c r="U1102" s="189"/>
      <c r="V1102" s="189"/>
      <c r="W1102" s="189"/>
      <c r="X1102" s="189"/>
      <c r="Y1102" s="189"/>
      <c r="Z1102" s="189"/>
    </row>
    <row r="1103">
      <c r="A1103" s="189"/>
      <c r="B1103" s="190"/>
      <c r="C1103" s="189"/>
      <c r="D1103" s="189"/>
      <c r="E1103" s="189"/>
      <c r="F1103" s="189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89"/>
      <c r="Q1103" s="189"/>
      <c r="R1103" s="189"/>
      <c r="S1103" s="189"/>
      <c r="T1103" s="189"/>
      <c r="U1103" s="189"/>
      <c r="V1103" s="189"/>
      <c r="W1103" s="189"/>
      <c r="X1103" s="189"/>
      <c r="Y1103" s="189"/>
      <c r="Z1103" s="189"/>
    </row>
    <row r="1104">
      <c r="A1104" s="189"/>
      <c r="B1104" s="190"/>
      <c r="C1104" s="189"/>
      <c r="D1104" s="189"/>
      <c r="E1104" s="189"/>
      <c r="F1104" s="189"/>
      <c r="G1104" s="189"/>
      <c r="H1104" s="189"/>
      <c r="I1104" s="189"/>
      <c r="J1104" s="189"/>
      <c r="K1104" s="189"/>
      <c r="L1104" s="189"/>
      <c r="M1104" s="189"/>
      <c r="N1104" s="189"/>
      <c r="O1104" s="189"/>
      <c r="P1104" s="189"/>
      <c r="Q1104" s="189"/>
      <c r="R1104" s="189"/>
      <c r="S1104" s="189"/>
      <c r="T1104" s="189"/>
      <c r="U1104" s="189"/>
      <c r="V1104" s="189"/>
      <c r="W1104" s="189"/>
      <c r="X1104" s="189"/>
      <c r="Y1104" s="189"/>
      <c r="Z1104" s="189"/>
    </row>
    <row r="1105">
      <c r="A1105" s="189"/>
      <c r="B1105" s="190"/>
      <c r="C1105" s="189"/>
      <c r="D1105" s="189"/>
      <c r="E1105" s="189"/>
      <c r="F1105" s="189"/>
      <c r="G1105" s="189"/>
      <c r="H1105" s="189"/>
      <c r="I1105" s="189"/>
      <c r="J1105" s="189"/>
      <c r="K1105" s="189"/>
      <c r="L1105" s="189"/>
      <c r="M1105" s="189"/>
      <c r="N1105" s="189"/>
      <c r="O1105" s="189"/>
      <c r="P1105" s="189"/>
      <c r="Q1105" s="189"/>
      <c r="R1105" s="189"/>
      <c r="S1105" s="189"/>
      <c r="T1105" s="189"/>
      <c r="U1105" s="189"/>
      <c r="V1105" s="189"/>
      <c r="W1105" s="189"/>
      <c r="X1105" s="189"/>
      <c r="Y1105" s="189"/>
      <c r="Z1105" s="189"/>
    </row>
    <row r="1106">
      <c r="A1106" s="189"/>
      <c r="B1106" s="190"/>
      <c r="C1106" s="189"/>
      <c r="D1106" s="189"/>
      <c r="E1106" s="189"/>
      <c r="F1106" s="189"/>
      <c r="G1106" s="189"/>
      <c r="H1106" s="189"/>
      <c r="I1106" s="189"/>
      <c r="J1106" s="189"/>
      <c r="K1106" s="189"/>
      <c r="L1106" s="189"/>
      <c r="M1106" s="189"/>
      <c r="N1106" s="189"/>
      <c r="O1106" s="189"/>
      <c r="P1106" s="189"/>
      <c r="Q1106" s="189"/>
      <c r="R1106" s="189"/>
      <c r="S1106" s="189"/>
      <c r="T1106" s="189"/>
      <c r="U1106" s="189"/>
      <c r="V1106" s="189"/>
      <c r="W1106" s="189"/>
      <c r="X1106" s="189"/>
      <c r="Y1106" s="189"/>
      <c r="Z1106" s="189"/>
    </row>
    <row r="1107">
      <c r="A1107" s="189"/>
      <c r="B1107" s="190"/>
      <c r="C1107" s="189"/>
      <c r="D1107" s="189"/>
      <c r="E1107" s="189"/>
      <c r="F1107" s="189"/>
      <c r="G1107" s="189"/>
      <c r="H1107" s="189"/>
      <c r="I1107" s="189"/>
      <c r="J1107" s="189"/>
      <c r="K1107" s="189"/>
      <c r="L1107" s="189"/>
      <c r="M1107" s="189"/>
      <c r="N1107" s="189"/>
      <c r="O1107" s="189"/>
      <c r="P1107" s="189"/>
      <c r="Q1107" s="189"/>
      <c r="R1107" s="189"/>
      <c r="S1107" s="189"/>
      <c r="T1107" s="189"/>
      <c r="U1107" s="189"/>
      <c r="V1107" s="189"/>
      <c r="W1107" s="189"/>
      <c r="X1107" s="189"/>
      <c r="Y1107" s="189"/>
      <c r="Z1107" s="189"/>
    </row>
    <row r="1108">
      <c r="A1108" s="189"/>
      <c r="B1108" s="190"/>
      <c r="C1108" s="189"/>
      <c r="D1108" s="189"/>
      <c r="E1108" s="189"/>
      <c r="F1108" s="189"/>
      <c r="G1108" s="189"/>
      <c r="H1108" s="189"/>
      <c r="I1108" s="189"/>
      <c r="J1108" s="189"/>
      <c r="K1108" s="189"/>
      <c r="L1108" s="189"/>
      <c r="M1108" s="189"/>
      <c r="N1108" s="189"/>
      <c r="O1108" s="189"/>
      <c r="P1108" s="189"/>
      <c r="Q1108" s="189"/>
      <c r="R1108" s="189"/>
      <c r="S1108" s="189"/>
      <c r="T1108" s="189"/>
      <c r="U1108" s="189"/>
      <c r="V1108" s="189"/>
      <c r="W1108" s="189"/>
      <c r="X1108" s="189"/>
      <c r="Y1108" s="189"/>
      <c r="Z1108" s="189"/>
    </row>
    <row r="1109">
      <c r="A1109" s="189"/>
      <c r="B1109" s="190"/>
      <c r="C1109" s="189"/>
      <c r="D1109" s="189"/>
      <c r="E1109" s="189"/>
      <c r="F1109" s="189"/>
      <c r="G1109" s="189"/>
      <c r="H1109" s="189"/>
      <c r="I1109" s="189"/>
      <c r="J1109" s="189"/>
      <c r="K1109" s="189"/>
      <c r="L1109" s="189"/>
      <c r="M1109" s="189"/>
      <c r="N1109" s="189"/>
      <c r="O1109" s="189"/>
      <c r="P1109" s="189"/>
      <c r="Q1109" s="189"/>
      <c r="R1109" s="189"/>
      <c r="S1109" s="189"/>
      <c r="T1109" s="189"/>
      <c r="U1109" s="189"/>
      <c r="V1109" s="189"/>
      <c r="W1109" s="189"/>
      <c r="X1109" s="189"/>
      <c r="Y1109" s="189"/>
      <c r="Z1109" s="189"/>
    </row>
    <row r="1110">
      <c r="A1110" s="189"/>
      <c r="B1110" s="190"/>
      <c r="C1110" s="189"/>
      <c r="D1110" s="189"/>
      <c r="E1110" s="189"/>
      <c r="F1110" s="189"/>
      <c r="G1110" s="189"/>
      <c r="H1110" s="189"/>
      <c r="I1110" s="189"/>
      <c r="J1110" s="189"/>
      <c r="K1110" s="189"/>
      <c r="L1110" s="189"/>
      <c r="M1110" s="189"/>
      <c r="N1110" s="189"/>
      <c r="O1110" s="189"/>
      <c r="P1110" s="189"/>
      <c r="Q1110" s="189"/>
      <c r="R1110" s="189"/>
      <c r="S1110" s="189"/>
      <c r="T1110" s="189"/>
      <c r="U1110" s="189"/>
      <c r="V1110" s="189"/>
      <c r="W1110" s="189"/>
      <c r="X1110" s="189"/>
      <c r="Y1110" s="189"/>
      <c r="Z1110" s="189"/>
    </row>
    <row r="1111">
      <c r="A1111" s="189"/>
      <c r="B1111" s="190"/>
      <c r="C1111" s="189"/>
      <c r="D1111" s="189"/>
      <c r="E1111" s="189"/>
      <c r="F1111" s="189"/>
      <c r="G1111" s="189"/>
      <c r="H1111" s="189"/>
      <c r="I1111" s="189"/>
      <c r="J1111" s="189"/>
      <c r="K1111" s="189"/>
      <c r="L1111" s="189"/>
      <c r="M1111" s="189"/>
      <c r="N1111" s="189"/>
      <c r="O1111" s="189"/>
      <c r="P1111" s="189"/>
      <c r="Q1111" s="189"/>
      <c r="R1111" s="189"/>
      <c r="S1111" s="189"/>
      <c r="T1111" s="189"/>
      <c r="U1111" s="189"/>
      <c r="V1111" s="189"/>
      <c r="W1111" s="189"/>
      <c r="X1111" s="189"/>
      <c r="Y1111" s="189"/>
      <c r="Z1111" s="189"/>
    </row>
    <row r="1112">
      <c r="A1112" s="189"/>
      <c r="B1112" s="190"/>
      <c r="C1112" s="189"/>
      <c r="D1112" s="189"/>
      <c r="E1112" s="189"/>
      <c r="F1112" s="189"/>
      <c r="G1112" s="189"/>
      <c r="H1112" s="189"/>
      <c r="I1112" s="189"/>
      <c r="J1112" s="189"/>
      <c r="K1112" s="189"/>
      <c r="L1112" s="189"/>
      <c r="M1112" s="189"/>
      <c r="N1112" s="189"/>
      <c r="O1112" s="189"/>
      <c r="P1112" s="189"/>
      <c r="Q1112" s="189"/>
      <c r="R1112" s="189"/>
      <c r="S1112" s="189"/>
      <c r="T1112" s="189"/>
      <c r="U1112" s="189"/>
      <c r="V1112" s="189"/>
      <c r="W1112" s="189"/>
      <c r="X1112" s="189"/>
      <c r="Y1112" s="189"/>
      <c r="Z1112" s="189"/>
    </row>
    <row r="1113">
      <c r="A1113" s="189"/>
      <c r="B1113" s="190"/>
      <c r="C1113" s="189"/>
      <c r="D1113" s="189"/>
      <c r="E1113" s="189"/>
      <c r="F1113" s="189"/>
      <c r="G1113" s="189"/>
      <c r="H1113" s="189"/>
      <c r="I1113" s="189"/>
      <c r="J1113" s="189"/>
      <c r="K1113" s="189"/>
      <c r="L1113" s="189"/>
      <c r="M1113" s="189"/>
      <c r="N1113" s="189"/>
      <c r="O1113" s="189"/>
      <c r="P1113" s="189"/>
      <c r="Q1113" s="189"/>
      <c r="R1113" s="189"/>
      <c r="S1113" s="189"/>
      <c r="T1113" s="189"/>
      <c r="U1113" s="189"/>
      <c r="V1113" s="189"/>
      <c r="W1113" s="189"/>
      <c r="X1113" s="189"/>
      <c r="Y1113" s="189"/>
      <c r="Z1113" s="189"/>
    </row>
    <row r="1114">
      <c r="A1114" s="189"/>
      <c r="B1114" s="190"/>
      <c r="C1114" s="189"/>
      <c r="D1114" s="189"/>
      <c r="E1114" s="189"/>
      <c r="F1114" s="189"/>
      <c r="G1114" s="189"/>
      <c r="H1114" s="189"/>
      <c r="I1114" s="189"/>
      <c r="J1114" s="189"/>
      <c r="K1114" s="189"/>
      <c r="L1114" s="189"/>
      <c r="M1114" s="189"/>
      <c r="N1114" s="189"/>
      <c r="O1114" s="189"/>
      <c r="P1114" s="189"/>
      <c r="Q1114" s="189"/>
      <c r="R1114" s="189"/>
      <c r="S1114" s="189"/>
      <c r="T1114" s="189"/>
      <c r="U1114" s="189"/>
      <c r="V1114" s="189"/>
      <c r="W1114" s="189"/>
      <c r="X1114" s="189"/>
      <c r="Y1114" s="189"/>
      <c r="Z1114" s="189"/>
    </row>
    <row r="1115">
      <c r="A1115" s="189"/>
      <c r="B1115" s="190"/>
      <c r="C1115" s="189"/>
      <c r="D1115" s="189"/>
      <c r="E1115" s="189"/>
      <c r="F1115" s="189"/>
      <c r="G1115" s="189"/>
      <c r="H1115" s="189"/>
      <c r="I1115" s="189"/>
      <c r="J1115" s="189"/>
      <c r="K1115" s="189"/>
      <c r="L1115" s="189"/>
      <c r="M1115" s="189"/>
      <c r="N1115" s="189"/>
      <c r="O1115" s="189"/>
      <c r="P1115" s="189"/>
      <c r="Q1115" s="189"/>
      <c r="R1115" s="189"/>
      <c r="S1115" s="189"/>
      <c r="T1115" s="189"/>
      <c r="U1115" s="189"/>
      <c r="V1115" s="189"/>
      <c r="W1115" s="189"/>
      <c r="X1115" s="189"/>
      <c r="Y1115" s="189"/>
      <c r="Z1115" s="189"/>
    </row>
    <row r="1116">
      <c r="A1116" s="189"/>
      <c r="B1116" s="190"/>
      <c r="C1116" s="189"/>
      <c r="D1116" s="189"/>
      <c r="E1116" s="189"/>
      <c r="F1116" s="189"/>
      <c r="G1116" s="189"/>
      <c r="H1116" s="189"/>
      <c r="I1116" s="189"/>
      <c r="J1116" s="189"/>
      <c r="K1116" s="189"/>
      <c r="L1116" s="189"/>
      <c r="M1116" s="189"/>
      <c r="N1116" s="189"/>
      <c r="O1116" s="189"/>
      <c r="P1116" s="189"/>
      <c r="Q1116" s="189"/>
      <c r="R1116" s="189"/>
      <c r="S1116" s="189"/>
      <c r="T1116" s="189"/>
      <c r="U1116" s="189"/>
      <c r="V1116" s="189"/>
      <c r="W1116" s="189"/>
      <c r="X1116" s="189"/>
      <c r="Y1116" s="189"/>
      <c r="Z1116" s="189"/>
    </row>
    <row r="1117">
      <c r="A1117" s="189"/>
      <c r="B1117" s="190"/>
      <c r="C1117" s="189"/>
      <c r="D1117" s="189"/>
      <c r="E1117" s="189"/>
      <c r="F1117" s="189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89"/>
      <c r="Q1117" s="189"/>
      <c r="R1117" s="189"/>
      <c r="S1117" s="189"/>
      <c r="T1117" s="189"/>
      <c r="U1117" s="189"/>
      <c r="V1117" s="189"/>
      <c r="W1117" s="189"/>
      <c r="X1117" s="189"/>
      <c r="Y1117" s="189"/>
      <c r="Z1117" s="189"/>
    </row>
    <row r="1118">
      <c r="A1118" s="189"/>
      <c r="B1118" s="190"/>
      <c r="C1118" s="189"/>
      <c r="D1118" s="189"/>
      <c r="E1118" s="189"/>
      <c r="F1118" s="189"/>
      <c r="G1118" s="189"/>
      <c r="H1118" s="189"/>
      <c r="I1118" s="189"/>
      <c r="J1118" s="189"/>
      <c r="K1118" s="189"/>
      <c r="L1118" s="189"/>
      <c r="M1118" s="189"/>
      <c r="N1118" s="189"/>
      <c r="O1118" s="189"/>
      <c r="P1118" s="189"/>
      <c r="Q1118" s="189"/>
      <c r="R1118" s="189"/>
      <c r="S1118" s="189"/>
      <c r="T1118" s="189"/>
      <c r="U1118" s="189"/>
      <c r="V1118" s="189"/>
      <c r="W1118" s="189"/>
      <c r="X1118" s="189"/>
      <c r="Y1118" s="189"/>
      <c r="Z1118" s="189"/>
    </row>
    <row r="1119">
      <c r="A1119" s="189"/>
      <c r="B1119" s="190"/>
      <c r="C1119" s="189"/>
      <c r="D1119" s="189"/>
      <c r="E1119" s="189"/>
      <c r="F1119" s="189"/>
      <c r="G1119" s="189"/>
      <c r="H1119" s="189"/>
      <c r="I1119" s="189"/>
      <c r="J1119" s="189"/>
      <c r="K1119" s="189"/>
      <c r="L1119" s="189"/>
      <c r="M1119" s="189"/>
      <c r="N1119" s="189"/>
      <c r="O1119" s="189"/>
      <c r="P1119" s="189"/>
      <c r="Q1119" s="189"/>
      <c r="R1119" s="189"/>
      <c r="S1119" s="189"/>
      <c r="T1119" s="189"/>
      <c r="U1119" s="189"/>
      <c r="V1119" s="189"/>
      <c r="W1119" s="189"/>
      <c r="X1119" s="189"/>
      <c r="Y1119" s="189"/>
      <c r="Z1119" s="189"/>
    </row>
    <row r="1120">
      <c r="A1120" s="189"/>
      <c r="B1120" s="190"/>
      <c r="C1120" s="189"/>
      <c r="D1120" s="189"/>
      <c r="E1120" s="189"/>
      <c r="F1120" s="189"/>
      <c r="G1120" s="189"/>
      <c r="H1120" s="189"/>
      <c r="I1120" s="189"/>
      <c r="J1120" s="189"/>
      <c r="K1120" s="189"/>
      <c r="L1120" s="189"/>
      <c r="M1120" s="189"/>
      <c r="N1120" s="189"/>
      <c r="O1120" s="189"/>
      <c r="P1120" s="189"/>
      <c r="Q1120" s="189"/>
      <c r="R1120" s="189"/>
      <c r="S1120" s="189"/>
      <c r="T1120" s="189"/>
      <c r="U1120" s="189"/>
      <c r="V1120" s="189"/>
      <c r="W1120" s="189"/>
      <c r="X1120" s="189"/>
      <c r="Y1120" s="189"/>
      <c r="Z1120" s="189"/>
    </row>
    <row r="1121">
      <c r="A1121" s="189"/>
      <c r="B1121" s="190"/>
      <c r="C1121" s="189"/>
      <c r="D1121" s="189"/>
      <c r="E1121" s="189"/>
      <c r="F1121" s="189"/>
      <c r="G1121" s="189"/>
      <c r="H1121" s="189"/>
      <c r="I1121" s="189"/>
      <c r="J1121" s="189"/>
      <c r="K1121" s="189"/>
      <c r="L1121" s="189"/>
      <c r="M1121" s="189"/>
      <c r="N1121" s="189"/>
      <c r="O1121" s="189"/>
      <c r="P1121" s="189"/>
      <c r="Q1121" s="189"/>
      <c r="R1121" s="189"/>
      <c r="S1121" s="189"/>
      <c r="T1121" s="189"/>
      <c r="U1121" s="189"/>
      <c r="V1121" s="189"/>
      <c r="W1121" s="189"/>
      <c r="X1121" s="189"/>
      <c r="Y1121" s="189"/>
      <c r="Z1121" s="189"/>
    </row>
    <row r="1122">
      <c r="A1122" s="189"/>
      <c r="B1122" s="190"/>
      <c r="C1122" s="189"/>
      <c r="D1122" s="189"/>
      <c r="E1122" s="189"/>
      <c r="F1122" s="189"/>
      <c r="G1122" s="189"/>
      <c r="H1122" s="189"/>
      <c r="I1122" s="189"/>
      <c r="J1122" s="189"/>
      <c r="K1122" s="189"/>
      <c r="L1122" s="189"/>
      <c r="M1122" s="189"/>
      <c r="N1122" s="189"/>
      <c r="O1122" s="189"/>
      <c r="P1122" s="189"/>
      <c r="Q1122" s="189"/>
      <c r="R1122" s="189"/>
      <c r="S1122" s="189"/>
      <c r="T1122" s="189"/>
      <c r="U1122" s="189"/>
      <c r="V1122" s="189"/>
      <c r="W1122" s="189"/>
      <c r="X1122" s="189"/>
      <c r="Y1122" s="189"/>
      <c r="Z1122" s="189"/>
    </row>
    <row r="1123">
      <c r="A1123" s="189"/>
      <c r="B1123" s="190"/>
      <c r="C1123" s="189"/>
      <c r="D1123" s="189"/>
      <c r="E1123" s="189"/>
      <c r="F1123" s="189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89"/>
      <c r="Q1123" s="189"/>
      <c r="R1123" s="189"/>
      <c r="S1123" s="189"/>
      <c r="T1123" s="189"/>
      <c r="U1123" s="189"/>
      <c r="V1123" s="189"/>
      <c r="W1123" s="189"/>
      <c r="X1123" s="189"/>
      <c r="Y1123" s="189"/>
      <c r="Z1123" s="189"/>
    </row>
    <row r="1124">
      <c r="A1124" s="189"/>
      <c r="B1124" s="190"/>
      <c r="C1124" s="189"/>
      <c r="D1124" s="189"/>
      <c r="E1124" s="189"/>
      <c r="F1124" s="189"/>
      <c r="G1124" s="189"/>
      <c r="H1124" s="189"/>
      <c r="I1124" s="189"/>
      <c r="J1124" s="189"/>
      <c r="K1124" s="189"/>
      <c r="L1124" s="189"/>
      <c r="M1124" s="189"/>
      <c r="N1124" s="189"/>
      <c r="O1124" s="189"/>
      <c r="P1124" s="189"/>
      <c r="Q1124" s="189"/>
      <c r="R1124" s="189"/>
      <c r="S1124" s="189"/>
      <c r="T1124" s="189"/>
      <c r="U1124" s="189"/>
      <c r="V1124" s="189"/>
      <c r="W1124" s="189"/>
      <c r="X1124" s="189"/>
      <c r="Y1124" s="189"/>
      <c r="Z1124" s="189"/>
    </row>
    <row r="1125">
      <c r="A1125" s="189"/>
      <c r="B1125" s="190"/>
      <c r="C1125" s="189"/>
      <c r="D1125" s="189"/>
      <c r="E1125" s="189"/>
      <c r="F1125" s="189"/>
      <c r="G1125" s="189"/>
      <c r="H1125" s="189"/>
      <c r="I1125" s="189"/>
      <c r="J1125" s="189"/>
      <c r="K1125" s="189"/>
      <c r="L1125" s="189"/>
      <c r="M1125" s="189"/>
      <c r="N1125" s="189"/>
      <c r="O1125" s="189"/>
      <c r="P1125" s="189"/>
      <c r="Q1125" s="189"/>
      <c r="R1125" s="189"/>
      <c r="S1125" s="189"/>
      <c r="T1125" s="189"/>
      <c r="U1125" s="189"/>
      <c r="V1125" s="189"/>
      <c r="W1125" s="189"/>
      <c r="X1125" s="189"/>
      <c r="Y1125" s="189"/>
      <c r="Z1125" s="189"/>
    </row>
    <row r="1126">
      <c r="A1126" s="189"/>
      <c r="B1126" s="190"/>
      <c r="C1126" s="189"/>
      <c r="D1126" s="189"/>
      <c r="E1126" s="189"/>
      <c r="F1126" s="189"/>
      <c r="G1126" s="189"/>
      <c r="H1126" s="189"/>
      <c r="I1126" s="189"/>
      <c r="J1126" s="189"/>
      <c r="K1126" s="189"/>
      <c r="L1126" s="189"/>
      <c r="M1126" s="189"/>
      <c r="N1126" s="189"/>
      <c r="O1126" s="189"/>
      <c r="P1126" s="189"/>
      <c r="Q1126" s="189"/>
      <c r="R1126" s="189"/>
      <c r="S1126" s="189"/>
      <c r="T1126" s="189"/>
      <c r="U1126" s="189"/>
      <c r="V1126" s="189"/>
      <c r="W1126" s="189"/>
      <c r="X1126" s="189"/>
      <c r="Y1126" s="189"/>
      <c r="Z1126" s="189"/>
    </row>
    <row r="1127">
      <c r="A1127" s="189"/>
      <c r="B1127" s="190"/>
      <c r="C1127" s="189"/>
      <c r="D1127" s="189"/>
      <c r="E1127" s="189"/>
      <c r="F1127" s="189"/>
      <c r="G1127" s="189"/>
      <c r="H1127" s="189"/>
      <c r="I1127" s="189"/>
      <c r="J1127" s="189"/>
      <c r="K1127" s="189"/>
      <c r="L1127" s="189"/>
      <c r="M1127" s="189"/>
      <c r="N1127" s="189"/>
      <c r="O1127" s="189"/>
      <c r="P1127" s="189"/>
      <c r="Q1127" s="189"/>
      <c r="R1127" s="189"/>
      <c r="S1127" s="189"/>
      <c r="T1127" s="189"/>
      <c r="U1127" s="189"/>
      <c r="V1127" s="189"/>
      <c r="W1127" s="189"/>
      <c r="X1127" s="189"/>
      <c r="Y1127" s="189"/>
      <c r="Z1127" s="189"/>
    </row>
    <row r="1128">
      <c r="A1128" s="189"/>
      <c r="B1128" s="190"/>
      <c r="C1128" s="189"/>
      <c r="D1128" s="189"/>
      <c r="E1128" s="189"/>
      <c r="F1128" s="189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89"/>
      <c r="Q1128" s="189"/>
      <c r="R1128" s="189"/>
      <c r="S1128" s="189"/>
      <c r="T1128" s="189"/>
      <c r="U1128" s="189"/>
      <c r="V1128" s="189"/>
      <c r="W1128" s="189"/>
      <c r="X1128" s="189"/>
      <c r="Y1128" s="189"/>
      <c r="Z1128" s="189"/>
    </row>
    <row r="1129">
      <c r="A1129" s="189"/>
      <c r="B1129" s="190"/>
      <c r="C1129" s="189"/>
      <c r="D1129" s="189"/>
      <c r="E1129" s="189"/>
      <c r="F1129" s="189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89"/>
      <c r="Q1129" s="189"/>
      <c r="R1129" s="189"/>
      <c r="S1129" s="189"/>
      <c r="T1129" s="189"/>
      <c r="U1129" s="189"/>
      <c r="V1129" s="189"/>
      <c r="W1129" s="189"/>
      <c r="X1129" s="189"/>
      <c r="Y1129" s="189"/>
      <c r="Z1129" s="189"/>
    </row>
    <row r="1130">
      <c r="A1130" s="189"/>
      <c r="B1130" s="190"/>
      <c r="C1130" s="189"/>
      <c r="D1130" s="189"/>
      <c r="E1130" s="189"/>
      <c r="F1130" s="189"/>
      <c r="G1130" s="189"/>
      <c r="H1130" s="189"/>
      <c r="I1130" s="189"/>
      <c r="J1130" s="189"/>
      <c r="K1130" s="189"/>
      <c r="L1130" s="189"/>
      <c r="M1130" s="189"/>
      <c r="N1130" s="189"/>
      <c r="O1130" s="189"/>
      <c r="P1130" s="189"/>
      <c r="Q1130" s="189"/>
      <c r="R1130" s="189"/>
      <c r="S1130" s="189"/>
      <c r="T1130" s="189"/>
      <c r="U1130" s="189"/>
      <c r="V1130" s="189"/>
      <c r="W1130" s="189"/>
      <c r="X1130" s="189"/>
      <c r="Y1130" s="189"/>
      <c r="Z1130" s="189"/>
    </row>
    <row r="1131">
      <c r="A1131" s="189"/>
      <c r="B1131" s="190"/>
      <c r="C1131" s="189"/>
      <c r="D1131" s="189"/>
      <c r="E1131" s="189"/>
      <c r="F1131" s="189"/>
      <c r="G1131" s="189"/>
      <c r="H1131" s="189"/>
      <c r="I1131" s="189"/>
      <c r="J1131" s="189"/>
      <c r="K1131" s="189"/>
      <c r="L1131" s="189"/>
      <c r="M1131" s="189"/>
      <c r="N1131" s="189"/>
      <c r="O1131" s="189"/>
      <c r="P1131" s="189"/>
      <c r="Q1131" s="189"/>
      <c r="R1131" s="189"/>
      <c r="S1131" s="189"/>
      <c r="T1131" s="189"/>
      <c r="U1131" s="189"/>
      <c r="V1131" s="189"/>
      <c r="W1131" s="189"/>
      <c r="X1131" s="189"/>
      <c r="Y1131" s="189"/>
      <c r="Z1131" s="189"/>
    </row>
    <row r="1132">
      <c r="A1132" s="189"/>
      <c r="B1132" s="190"/>
      <c r="C1132" s="189"/>
      <c r="D1132" s="189"/>
      <c r="E1132" s="189"/>
      <c r="F1132" s="189"/>
      <c r="G1132" s="189"/>
      <c r="H1132" s="189"/>
      <c r="I1132" s="189"/>
      <c r="J1132" s="189"/>
      <c r="K1132" s="189"/>
      <c r="L1132" s="189"/>
      <c r="M1132" s="189"/>
      <c r="N1132" s="189"/>
      <c r="O1132" s="189"/>
      <c r="P1132" s="189"/>
      <c r="Q1132" s="189"/>
      <c r="R1132" s="189"/>
      <c r="S1132" s="189"/>
      <c r="T1132" s="189"/>
      <c r="U1132" s="189"/>
      <c r="V1132" s="189"/>
      <c r="W1132" s="189"/>
      <c r="X1132" s="189"/>
      <c r="Y1132" s="189"/>
      <c r="Z1132" s="189"/>
    </row>
    <row r="1133">
      <c r="A1133" s="189"/>
      <c r="B1133" s="190"/>
      <c r="C1133" s="189"/>
      <c r="D1133" s="189"/>
      <c r="E1133" s="189"/>
      <c r="F1133" s="189"/>
      <c r="G1133" s="189"/>
      <c r="H1133" s="189"/>
      <c r="I1133" s="189"/>
      <c r="J1133" s="189"/>
      <c r="K1133" s="189"/>
      <c r="L1133" s="189"/>
      <c r="M1133" s="189"/>
      <c r="N1133" s="189"/>
      <c r="O1133" s="189"/>
      <c r="P1133" s="189"/>
      <c r="Q1133" s="189"/>
      <c r="R1133" s="189"/>
      <c r="S1133" s="189"/>
      <c r="T1133" s="189"/>
      <c r="U1133" s="189"/>
      <c r="V1133" s="189"/>
      <c r="W1133" s="189"/>
      <c r="X1133" s="189"/>
      <c r="Y1133" s="189"/>
      <c r="Z1133" s="189"/>
    </row>
    <row r="1134">
      <c r="A1134" s="189"/>
      <c r="B1134" s="190"/>
      <c r="C1134" s="189"/>
      <c r="D1134" s="189"/>
      <c r="E1134" s="189"/>
      <c r="F1134" s="189"/>
      <c r="G1134" s="189"/>
      <c r="H1134" s="189"/>
      <c r="I1134" s="189"/>
      <c r="J1134" s="189"/>
      <c r="K1134" s="189"/>
      <c r="L1134" s="189"/>
      <c r="M1134" s="189"/>
      <c r="N1134" s="189"/>
      <c r="O1134" s="189"/>
      <c r="P1134" s="189"/>
      <c r="Q1134" s="189"/>
      <c r="R1134" s="189"/>
      <c r="S1134" s="189"/>
      <c r="T1134" s="189"/>
      <c r="U1134" s="189"/>
      <c r="V1134" s="189"/>
      <c r="W1134" s="189"/>
      <c r="X1134" s="189"/>
      <c r="Y1134" s="189"/>
      <c r="Z1134" s="189"/>
    </row>
    <row r="1135">
      <c r="A1135" s="189"/>
      <c r="B1135" s="190"/>
      <c r="C1135" s="189"/>
      <c r="D1135" s="189"/>
      <c r="E1135" s="189"/>
      <c r="F1135" s="189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89"/>
      <c r="Q1135" s="189"/>
      <c r="R1135" s="189"/>
      <c r="S1135" s="189"/>
      <c r="T1135" s="189"/>
      <c r="U1135" s="189"/>
      <c r="V1135" s="189"/>
      <c r="W1135" s="189"/>
      <c r="X1135" s="189"/>
      <c r="Y1135" s="189"/>
      <c r="Z1135" s="189"/>
    </row>
    <row r="1136">
      <c r="A1136" s="189"/>
      <c r="B1136" s="190"/>
      <c r="C1136" s="189"/>
      <c r="D1136" s="189"/>
      <c r="E1136" s="189"/>
      <c r="F1136" s="189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89"/>
      <c r="Q1136" s="189"/>
      <c r="R1136" s="189"/>
      <c r="S1136" s="189"/>
      <c r="T1136" s="189"/>
      <c r="U1136" s="189"/>
      <c r="V1136" s="189"/>
      <c r="W1136" s="189"/>
      <c r="X1136" s="189"/>
      <c r="Y1136" s="189"/>
      <c r="Z1136" s="189"/>
    </row>
    <row r="1137">
      <c r="A1137" s="189"/>
      <c r="B1137" s="190"/>
      <c r="C1137" s="189"/>
      <c r="D1137" s="189"/>
      <c r="E1137" s="189"/>
      <c r="F1137" s="189"/>
      <c r="G1137" s="189"/>
      <c r="H1137" s="189"/>
      <c r="I1137" s="189"/>
      <c r="J1137" s="189"/>
      <c r="K1137" s="189"/>
      <c r="L1137" s="189"/>
      <c r="M1137" s="189"/>
      <c r="N1137" s="189"/>
      <c r="O1137" s="189"/>
      <c r="P1137" s="189"/>
      <c r="Q1137" s="189"/>
      <c r="R1137" s="189"/>
      <c r="S1137" s="189"/>
      <c r="T1137" s="189"/>
      <c r="U1137" s="189"/>
      <c r="V1137" s="189"/>
      <c r="W1137" s="189"/>
      <c r="X1137" s="189"/>
      <c r="Y1137" s="189"/>
      <c r="Z1137" s="189"/>
    </row>
    <row r="1138">
      <c r="A1138" s="189"/>
      <c r="B1138" s="190"/>
      <c r="C1138" s="189"/>
      <c r="D1138" s="189"/>
      <c r="E1138" s="189"/>
      <c r="F1138" s="189"/>
      <c r="G1138" s="189"/>
      <c r="H1138" s="189"/>
      <c r="I1138" s="189"/>
      <c r="J1138" s="189"/>
      <c r="K1138" s="189"/>
      <c r="L1138" s="189"/>
      <c r="M1138" s="189"/>
      <c r="N1138" s="189"/>
      <c r="O1138" s="189"/>
      <c r="P1138" s="189"/>
      <c r="Q1138" s="189"/>
      <c r="R1138" s="189"/>
      <c r="S1138" s="189"/>
      <c r="T1138" s="189"/>
      <c r="U1138" s="189"/>
      <c r="V1138" s="189"/>
      <c r="W1138" s="189"/>
      <c r="X1138" s="189"/>
      <c r="Y1138" s="189"/>
      <c r="Z1138" s="189"/>
    </row>
  </sheetData>
  <mergeCells count="243">
    <mergeCell ref="A1:J1"/>
    <mergeCell ref="A3:J3"/>
    <mergeCell ref="C5:J5"/>
    <mergeCell ref="C22:H22"/>
    <mergeCell ref="C23:H23"/>
    <mergeCell ref="C24:J24"/>
    <mergeCell ref="C33:H33"/>
    <mergeCell ref="C34:H34"/>
    <mergeCell ref="C35:J35"/>
    <mergeCell ref="C43:H43"/>
    <mergeCell ref="C44:H44"/>
    <mergeCell ref="C45:J45"/>
    <mergeCell ref="C50:H50"/>
    <mergeCell ref="C52:J52"/>
    <mergeCell ref="C51:H51"/>
    <mergeCell ref="C56:H56"/>
    <mergeCell ref="C57:H57"/>
    <mergeCell ref="C58:J58"/>
    <mergeCell ref="C64:H64"/>
    <mergeCell ref="C65:H65"/>
    <mergeCell ref="C66:J66"/>
    <mergeCell ref="C69:H69"/>
    <mergeCell ref="C70:H70"/>
    <mergeCell ref="C71:J71"/>
    <mergeCell ref="C80:H80"/>
    <mergeCell ref="C81:H81"/>
    <mergeCell ref="C82:J82"/>
    <mergeCell ref="C89:H89"/>
    <mergeCell ref="C90:H90"/>
    <mergeCell ref="C91:J91"/>
    <mergeCell ref="C97:H97"/>
    <mergeCell ref="C98:H98"/>
    <mergeCell ref="C99:J99"/>
    <mergeCell ref="C103:H103"/>
    <mergeCell ref="C105:J105"/>
    <mergeCell ref="C104:H104"/>
    <mergeCell ref="C114:H114"/>
    <mergeCell ref="C115:H115"/>
    <mergeCell ref="C116:J116"/>
    <mergeCell ref="C122:H122"/>
    <mergeCell ref="C123:H123"/>
    <mergeCell ref="C124:J124"/>
    <mergeCell ref="C131:H131"/>
    <mergeCell ref="C132:H132"/>
    <mergeCell ref="C133:J133"/>
    <mergeCell ref="C142:H142"/>
    <mergeCell ref="C143:H143"/>
    <mergeCell ref="C144:J144"/>
    <mergeCell ref="C148:H148"/>
    <mergeCell ref="C149:H149"/>
    <mergeCell ref="C150:J150"/>
    <mergeCell ref="C156:H156"/>
    <mergeCell ref="C157:H157"/>
    <mergeCell ref="C158:J158"/>
    <mergeCell ref="C161:H161"/>
    <mergeCell ref="C163:J163"/>
    <mergeCell ref="C162:H162"/>
    <mergeCell ref="C167:H167"/>
    <mergeCell ref="C168:H168"/>
    <mergeCell ref="C171:J171"/>
    <mergeCell ref="C179:H179"/>
    <mergeCell ref="C180:H180"/>
    <mergeCell ref="A182:J182"/>
    <mergeCell ref="C184:J184"/>
    <mergeCell ref="C188:H188"/>
    <mergeCell ref="C189:H189"/>
    <mergeCell ref="C190:J190"/>
    <mergeCell ref="C194:H194"/>
    <mergeCell ref="C195:H195"/>
    <mergeCell ref="C196:J196"/>
    <mergeCell ref="C200:H200"/>
    <mergeCell ref="C201:H201"/>
    <mergeCell ref="C202:J202"/>
    <mergeCell ref="C207:H207"/>
    <mergeCell ref="C208:H208"/>
    <mergeCell ref="C209:J209"/>
    <mergeCell ref="C219:H219"/>
    <mergeCell ref="C220:H220"/>
    <mergeCell ref="C221:J221"/>
    <mergeCell ref="C230:H230"/>
    <mergeCell ref="C231:H231"/>
    <mergeCell ref="C232:J232"/>
    <mergeCell ref="C241:H241"/>
    <mergeCell ref="C242:H242"/>
    <mergeCell ref="A245:J245"/>
    <mergeCell ref="C247:J247"/>
    <mergeCell ref="C256:H256"/>
    <mergeCell ref="C257:H257"/>
    <mergeCell ref="C258:J258"/>
    <mergeCell ref="C268:H268"/>
    <mergeCell ref="C270:J270"/>
    <mergeCell ref="C269:H269"/>
    <mergeCell ref="C280:H280"/>
    <mergeCell ref="C281:H281"/>
    <mergeCell ref="C282:J282"/>
    <mergeCell ref="C296:H296"/>
    <mergeCell ref="C297:H297"/>
    <mergeCell ref="C298:J298"/>
    <mergeCell ref="C496:H496"/>
    <mergeCell ref="C508:H508"/>
    <mergeCell ref="C509:H509"/>
    <mergeCell ref="C510:J510"/>
    <mergeCell ref="C522:H522"/>
    <mergeCell ref="C523:H523"/>
    <mergeCell ref="A525:J525"/>
    <mergeCell ref="C527:J527"/>
    <mergeCell ref="C539:H539"/>
    <mergeCell ref="C540:H540"/>
    <mergeCell ref="C541:J541"/>
    <mergeCell ref="C553:H553"/>
    <mergeCell ref="C554:H554"/>
    <mergeCell ref="C555:J555"/>
    <mergeCell ref="C311:H311"/>
    <mergeCell ref="C312:H312"/>
    <mergeCell ref="C313:J313"/>
    <mergeCell ref="C321:H321"/>
    <mergeCell ref="C322:H322"/>
    <mergeCell ref="C323:J323"/>
    <mergeCell ref="C341:H341"/>
    <mergeCell ref="C342:H342"/>
    <mergeCell ref="C343:J343"/>
    <mergeCell ref="C356:H356"/>
    <mergeCell ref="C357:H357"/>
    <mergeCell ref="C358:J358"/>
    <mergeCell ref="C371:H371"/>
    <mergeCell ref="C375:J375"/>
    <mergeCell ref="C372:H372"/>
    <mergeCell ref="C388:H388"/>
    <mergeCell ref="C389:H389"/>
    <mergeCell ref="C390:J390"/>
    <mergeCell ref="C402:H402"/>
    <mergeCell ref="C403:H403"/>
    <mergeCell ref="C404:J404"/>
    <mergeCell ref="C417:H417"/>
    <mergeCell ref="C418:H418"/>
    <mergeCell ref="C419:J419"/>
    <mergeCell ref="C434:H434"/>
    <mergeCell ref="C435:H435"/>
    <mergeCell ref="C436:J436"/>
    <mergeCell ref="M436:T436"/>
    <mergeCell ref="C448:H448"/>
    <mergeCell ref="M448:R448"/>
    <mergeCell ref="C449:H449"/>
    <mergeCell ref="M449:R449"/>
    <mergeCell ref="A453:J453"/>
    <mergeCell ref="C455:J455"/>
    <mergeCell ref="C469:H469"/>
    <mergeCell ref="C470:H470"/>
    <mergeCell ref="C471:J471"/>
    <mergeCell ref="C481:H481"/>
    <mergeCell ref="C482:H482"/>
    <mergeCell ref="C483:J483"/>
    <mergeCell ref="C495:H495"/>
    <mergeCell ref="C497:J497"/>
    <mergeCell ref="C567:H567"/>
    <mergeCell ref="C568:H568"/>
    <mergeCell ref="C569:J569"/>
    <mergeCell ref="C581:H581"/>
    <mergeCell ref="C582:H582"/>
    <mergeCell ref="A585:J585"/>
    <mergeCell ref="C587:J587"/>
    <mergeCell ref="C773:H773"/>
    <mergeCell ref="C776:H776"/>
    <mergeCell ref="C777:H777"/>
    <mergeCell ref="C779:H779"/>
    <mergeCell ref="C780:H780"/>
    <mergeCell ref="A788:J788"/>
    <mergeCell ref="C790:J790"/>
    <mergeCell ref="C791:H791"/>
    <mergeCell ref="C792:H792"/>
    <mergeCell ref="C793:J793"/>
    <mergeCell ref="C794:H794"/>
    <mergeCell ref="C795:H795"/>
    <mergeCell ref="C796:J796"/>
    <mergeCell ref="C797:H797"/>
    <mergeCell ref="C798:H798"/>
    <mergeCell ref="C799:J799"/>
    <mergeCell ref="C800:H800"/>
    <mergeCell ref="C801:H801"/>
    <mergeCell ref="C802:J802"/>
    <mergeCell ref="C803:H803"/>
    <mergeCell ref="C804:H804"/>
    <mergeCell ref="C812:H812"/>
    <mergeCell ref="C813:H813"/>
    <mergeCell ref="C814:J814"/>
    <mergeCell ref="C815:H815"/>
    <mergeCell ref="C816:H816"/>
    <mergeCell ref="C805:J805"/>
    <mergeCell ref="C806:H806"/>
    <mergeCell ref="C807:H807"/>
    <mergeCell ref="C808:J808"/>
    <mergeCell ref="C809:H809"/>
    <mergeCell ref="C810:H810"/>
    <mergeCell ref="C811:J811"/>
    <mergeCell ref="C595:H595"/>
    <mergeCell ref="C596:H596"/>
    <mergeCell ref="C597:J597"/>
    <mergeCell ref="C606:H606"/>
    <mergeCell ref="C607:H607"/>
    <mergeCell ref="C608:J608"/>
    <mergeCell ref="C616:H616"/>
    <mergeCell ref="C617:H617"/>
    <mergeCell ref="C618:J618"/>
    <mergeCell ref="C626:H626"/>
    <mergeCell ref="C627:H627"/>
    <mergeCell ref="C628:J628"/>
    <mergeCell ref="C643:H643"/>
    <mergeCell ref="C645:J645"/>
    <mergeCell ref="C644:H644"/>
    <mergeCell ref="C655:H655"/>
    <mergeCell ref="C656:H656"/>
    <mergeCell ref="A658:J658"/>
    <mergeCell ref="C660:J660"/>
    <mergeCell ref="C674:H674"/>
    <mergeCell ref="C676:J676"/>
    <mergeCell ref="C675:H675"/>
    <mergeCell ref="C692:H692"/>
    <mergeCell ref="C693:H693"/>
    <mergeCell ref="C694:J694"/>
    <mergeCell ref="C707:H707"/>
    <mergeCell ref="C708:H708"/>
    <mergeCell ref="C709:J709"/>
    <mergeCell ref="C722:H722"/>
    <mergeCell ref="C723:H723"/>
    <mergeCell ref="C724:J724"/>
    <mergeCell ref="C738:H738"/>
    <mergeCell ref="C739:H739"/>
    <mergeCell ref="A741:J741"/>
    <mergeCell ref="C744:H744"/>
    <mergeCell ref="C745:H745"/>
    <mergeCell ref="C748:H748"/>
    <mergeCell ref="C749:H749"/>
    <mergeCell ref="C752:H752"/>
    <mergeCell ref="C753:H753"/>
    <mergeCell ref="C756:H756"/>
    <mergeCell ref="C757:H757"/>
    <mergeCell ref="C760:H760"/>
    <mergeCell ref="C761:H761"/>
    <mergeCell ref="C764:H764"/>
    <mergeCell ref="C765:H765"/>
    <mergeCell ref="C768:H768"/>
    <mergeCell ref="C769:H769"/>
    <mergeCell ref="C772:H77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8.0"/>
    <col customWidth="1" min="3" max="3" width="14.0"/>
    <col customWidth="1" min="4" max="4" width="16.0"/>
    <col customWidth="1" min="5" max="5" width="13.0"/>
    <col customWidth="1" min="6" max="6" width="32.0"/>
    <col customWidth="1" min="7" max="7" width="2.0"/>
    <col customWidth="1" min="8" max="9" width="20.0"/>
    <col customWidth="1" min="10" max="10" width="15.0"/>
  </cols>
  <sheetData>
    <row r="1" ht="33.75" customHeight="1">
      <c r="A1" s="292" t="s">
        <v>477</v>
      </c>
      <c r="B1" s="55"/>
      <c r="C1" s="55"/>
      <c r="D1" s="55"/>
      <c r="E1" s="55"/>
      <c r="F1" s="55"/>
      <c r="G1" s="55"/>
      <c r="H1" s="55"/>
      <c r="I1" s="55"/>
      <c r="J1" s="56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ht="19.5" customHeight="1">
      <c r="A2" s="294"/>
      <c r="B2" s="294"/>
      <c r="C2" s="294"/>
      <c r="D2" s="294"/>
      <c r="E2" s="294"/>
      <c r="F2" s="294"/>
      <c r="G2" s="294"/>
      <c r="H2" s="294"/>
      <c r="I2" s="294"/>
      <c r="J2" s="294"/>
    </row>
    <row r="3" ht="27.75" customHeight="1">
      <c r="A3" s="295" t="s">
        <v>478</v>
      </c>
      <c r="B3" s="55"/>
      <c r="C3" s="55"/>
      <c r="D3" s="55"/>
      <c r="E3" s="55"/>
      <c r="F3" s="55"/>
      <c r="G3" s="55"/>
      <c r="H3" s="55"/>
      <c r="I3" s="55"/>
      <c r="J3" s="56"/>
    </row>
    <row r="4" ht="18.0" customHeight="1">
      <c r="A4" s="296" t="s">
        <v>479</v>
      </c>
      <c r="B4" s="296" t="s">
        <v>480</v>
      </c>
      <c r="C4" s="297" t="s">
        <v>481</v>
      </c>
      <c r="D4" s="298" t="s">
        <v>482</v>
      </c>
      <c r="E4" s="296" t="s">
        <v>483</v>
      </c>
      <c r="F4" s="294"/>
      <c r="G4" s="294"/>
      <c r="H4" s="294"/>
      <c r="I4" s="294"/>
      <c r="J4" s="294"/>
    </row>
    <row r="5" ht="15.75" customHeight="1">
      <c r="A5" s="299" t="s">
        <v>484</v>
      </c>
      <c r="B5" s="300">
        <f t="shared" ref="B5:C5" si="1">H30</f>
        <v>0</v>
      </c>
      <c r="C5" s="300" t="str">
        <f t="shared" si="1"/>
        <v/>
      </c>
      <c r="D5" s="301" t="str">
        <f t="shared" ref="D5:D27" si="3">IF(C5&gt;0,B5/C5,"")</f>
        <v/>
      </c>
      <c r="E5" s="302">
        <f t="shared" ref="E5:E15" si="4">COUNTA(B1258:B1287)</f>
        <v>0</v>
      </c>
      <c r="F5" s="294"/>
      <c r="G5" s="294"/>
      <c r="H5" s="294"/>
      <c r="I5" s="294"/>
      <c r="J5" s="294"/>
    </row>
    <row r="6" ht="15.75" customHeight="1">
      <c r="A6" s="303" t="s">
        <v>485</v>
      </c>
      <c r="B6" s="304">
        <f t="shared" ref="B6:C6" si="2">H132</f>
        <v>0</v>
      </c>
      <c r="C6" s="304" t="str">
        <f t="shared" si="2"/>
        <v/>
      </c>
      <c r="D6" s="305" t="str">
        <f t="shared" si="3"/>
        <v/>
      </c>
      <c r="E6" s="302">
        <f t="shared" si="4"/>
        <v>0</v>
      </c>
      <c r="F6" s="294"/>
      <c r="G6" s="294"/>
      <c r="H6" s="294"/>
      <c r="I6" s="294"/>
      <c r="J6" s="294"/>
    </row>
    <row r="7" ht="15.75" customHeight="1">
      <c r="A7" s="299" t="s">
        <v>486</v>
      </c>
      <c r="B7" s="300">
        <f t="shared" ref="B7:C7" si="5">H285</f>
        <v>0</v>
      </c>
      <c r="C7" s="300" t="str">
        <f t="shared" si="5"/>
        <v/>
      </c>
      <c r="D7" s="301" t="str">
        <f t="shared" si="3"/>
        <v/>
      </c>
      <c r="E7" s="302">
        <f t="shared" si="4"/>
        <v>0</v>
      </c>
      <c r="F7" s="294"/>
      <c r="G7" s="294"/>
      <c r="H7" s="294"/>
      <c r="I7" s="294"/>
      <c r="J7" s="294"/>
    </row>
    <row r="8" ht="15.75" customHeight="1">
      <c r="A8" s="303" t="s">
        <v>487</v>
      </c>
      <c r="B8" s="304">
        <f t="shared" ref="B8:C8" si="6">H394</f>
        <v>0</v>
      </c>
      <c r="C8" s="304" t="str">
        <f t="shared" si="6"/>
        <v/>
      </c>
      <c r="D8" s="305" t="str">
        <f t="shared" si="3"/>
        <v/>
      </c>
      <c r="E8" s="302">
        <f t="shared" si="4"/>
        <v>0</v>
      </c>
      <c r="F8" s="294"/>
      <c r="G8" s="294"/>
      <c r="H8" s="294"/>
      <c r="I8" s="294"/>
      <c r="J8" s="294"/>
    </row>
    <row r="9" ht="15.75" customHeight="1">
      <c r="A9" s="299" t="s">
        <v>488</v>
      </c>
      <c r="B9" s="300">
        <f t="shared" ref="B9:C9" si="7">H545</f>
        <v>0</v>
      </c>
      <c r="C9" s="300" t="str">
        <f t="shared" si="7"/>
        <v/>
      </c>
      <c r="D9" s="301" t="str">
        <f t="shared" si="3"/>
        <v/>
      </c>
      <c r="E9" s="302">
        <f t="shared" si="4"/>
        <v>0</v>
      </c>
      <c r="F9" s="294"/>
      <c r="G9" s="294"/>
      <c r="H9" s="294"/>
      <c r="I9" s="294"/>
      <c r="J9" s="294"/>
    </row>
    <row r="10" ht="15.75" customHeight="1">
      <c r="A10" s="303" t="s">
        <v>489</v>
      </c>
      <c r="B10" s="304">
        <f t="shared" ref="B10:C10" si="8">H683</f>
        <v>0</v>
      </c>
      <c r="C10" s="304" t="str">
        <f t="shared" si="8"/>
        <v/>
      </c>
      <c r="D10" s="305" t="str">
        <f t="shared" si="3"/>
        <v/>
      </c>
      <c r="E10" s="302">
        <f t="shared" si="4"/>
        <v>0</v>
      </c>
      <c r="F10" s="294"/>
      <c r="G10" s="294"/>
      <c r="H10" s="294"/>
      <c r="I10" s="294"/>
      <c r="J10" s="294"/>
    </row>
    <row r="11" ht="15.75" customHeight="1">
      <c r="A11" s="299" t="s">
        <v>490</v>
      </c>
      <c r="B11" s="300">
        <f t="shared" ref="B11:C11" si="9">H823</f>
        <v>0</v>
      </c>
      <c r="C11" s="300" t="str">
        <f t="shared" si="9"/>
        <v/>
      </c>
      <c r="D11" s="301" t="str">
        <f t="shared" si="3"/>
        <v/>
      </c>
      <c r="E11" s="302">
        <f t="shared" si="4"/>
        <v>0</v>
      </c>
      <c r="F11" s="294"/>
      <c r="G11" s="294"/>
      <c r="H11" s="294"/>
      <c r="I11" s="294"/>
      <c r="J11" s="294"/>
    </row>
    <row r="12" ht="15.75" customHeight="1">
      <c r="A12" s="303" t="s">
        <v>491</v>
      </c>
      <c r="B12" s="304">
        <f t="shared" ref="B12:C12" si="10">H974</f>
        <v>0</v>
      </c>
      <c r="C12" s="304" t="str">
        <f t="shared" si="10"/>
        <v/>
      </c>
      <c r="D12" s="305" t="str">
        <f t="shared" si="3"/>
        <v/>
      </c>
      <c r="E12" s="302">
        <f t="shared" si="4"/>
        <v>0</v>
      </c>
      <c r="F12" s="294"/>
      <c r="G12" s="294"/>
      <c r="H12" s="294"/>
      <c r="I12" s="294"/>
      <c r="J12" s="294"/>
    </row>
    <row r="13" ht="15.75" customHeight="1">
      <c r="A13" s="299" t="s">
        <v>492</v>
      </c>
      <c r="B13" s="300">
        <f t="shared" ref="B13:C13" si="11">H1122</f>
        <v>0</v>
      </c>
      <c r="C13" s="300" t="str">
        <f t="shared" si="11"/>
        <v/>
      </c>
      <c r="D13" s="301" t="str">
        <f t="shared" si="3"/>
        <v/>
      </c>
      <c r="E13" s="302">
        <f t="shared" si="4"/>
        <v>0</v>
      </c>
      <c r="F13" s="294"/>
      <c r="G13" s="294"/>
      <c r="H13" s="294"/>
      <c r="I13" s="294"/>
      <c r="J13" s="294"/>
    </row>
    <row r="14" ht="15.75" customHeight="1">
      <c r="A14" s="303" t="s">
        <v>493</v>
      </c>
      <c r="B14" s="304">
        <f t="shared" ref="B14:C14" si="12">H1228</f>
        <v>0</v>
      </c>
      <c r="C14" s="304" t="str">
        <f t="shared" si="12"/>
        <v/>
      </c>
      <c r="D14" s="305" t="str">
        <f t="shared" si="3"/>
        <v/>
      </c>
      <c r="E14" s="302">
        <f t="shared" si="4"/>
        <v>0</v>
      </c>
      <c r="F14" s="294"/>
      <c r="G14" s="294"/>
      <c r="H14" s="294"/>
      <c r="I14" s="294"/>
      <c r="J14" s="294"/>
    </row>
    <row r="15" ht="15.75" customHeight="1">
      <c r="A15" s="299" t="s">
        <v>494</v>
      </c>
      <c r="B15" s="300">
        <f t="shared" ref="B15:C15" si="13">H1267</f>
        <v>0</v>
      </c>
      <c r="C15" s="300" t="str">
        <f t="shared" si="13"/>
        <v/>
      </c>
      <c r="D15" s="301" t="str">
        <f t="shared" si="3"/>
        <v/>
      </c>
      <c r="E15" s="302">
        <f t="shared" si="4"/>
        <v>0</v>
      </c>
      <c r="F15" s="294"/>
      <c r="G15" s="294"/>
      <c r="H15" s="294"/>
      <c r="I15" s="294"/>
      <c r="J15" s="294"/>
    </row>
    <row r="16" ht="15.75" customHeight="1">
      <c r="A16" s="303" t="s">
        <v>495</v>
      </c>
      <c r="B16" s="304">
        <f t="shared" ref="B16:C16" si="14">H1299</f>
        <v>0</v>
      </c>
      <c r="C16" s="304" t="str">
        <f t="shared" si="14"/>
        <v/>
      </c>
      <c r="D16" s="305" t="str">
        <f t="shared" si="3"/>
        <v/>
      </c>
      <c r="E16" s="306">
        <f>COUNTA(B1300:B1329)</f>
        <v>0</v>
      </c>
      <c r="F16" s="294"/>
      <c r="G16" s="294"/>
      <c r="H16" s="294"/>
      <c r="I16" s="294"/>
      <c r="J16" s="294"/>
    </row>
    <row r="17" ht="15.75" customHeight="1">
      <c r="A17" s="299" t="s">
        <v>496</v>
      </c>
      <c r="B17" s="300">
        <f t="shared" ref="B17:C17" si="15">H1331</f>
        <v>0</v>
      </c>
      <c r="C17" s="300" t="str">
        <f t="shared" si="15"/>
        <v/>
      </c>
      <c r="D17" s="301" t="str">
        <f t="shared" si="3"/>
        <v/>
      </c>
      <c r="E17" s="302">
        <f>COUNTA(B1332:B1361)</f>
        <v>0</v>
      </c>
      <c r="F17" s="294"/>
      <c r="G17" s="294"/>
      <c r="H17" s="294"/>
      <c r="I17" s="294"/>
      <c r="J17" s="294"/>
    </row>
    <row r="18" ht="15.75" customHeight="1">
      <c r="A18" s="303" t="s">
        <v>497</v>
      </c>
      <c r="B18" s="304">
        <f t="shared" ref="B18:C18" si="16">H1363</f>
        <v>0</v>
      </c>
      <c r="C18" s="304" t="str">
        <f t="shared" si="16"/>
        <v/>
      </c>
      <c r="D18" s="305" t="str">
        <f t="shared" si="3"/>
        <v/>
      </c>
      <c r="E18" s="306">
        <f>COUNTA(B1364:B1393)</f>
        <v>0</v>
      </c>
      <c r="F18" s="294"/>
      <c r="G18" s="294"/>
      <c r="H18" s="294"/>
      <c r="I18" s="294"/>
      <c r="J18" s="294"/>
    </row>
    <row r="19" ht="15.75" customHeight="1">
      <c r="A19" s="299" t="s">
        <v>498</v>
      </c>
      <c r="B19" s="300">
        <f t="shared" ref="B19:C19" si="17">H1395</f>
        <v>0</v>
      </c>
      <c r="C19" s="300" t="str">
        <f t="shared" si="17"/>
        <v/>
      </c>
      <c r="D19" s="301" t="str">
        <f t="shared" si="3"/>
        <v/>
      </c>
      <c r="E19" s="302">
        <f>COUNTA(B1396:B1425)</f>
        <v>0</v>
      </c>
      <c r="F19" s="294"/>
      <c r="G19" s="294"/>
      <c r="H19" s="294"/>
      <c r="I19" s="294"/>
      <c r="J19" s="294"/>
    </row>
    <row r="20" ht="15.75" customHeight="1">
      <c r="A20" s="303" t="s">
        <v>499</v>
      </c>
      <c r="B20" s="304">
        <f t="shared" ref="B20:C20" si="18">H1427</f>
        <v>0</v>
      </c>
      <c r="C20" s="304" t="str">
        <f t="shared" si="18"/>
        <v/>
      </c>
      <c r="D20" s="305" t="str">
        <f t="shared" si="3"/>
        <v/>
      </c>
      <c r="E20" s="306">
        <f>COUNTA(B1428:B1457)</f>
        <v>0</v>
      </c>
      <c r="F20" s="294"/>
      <c r="G20" s="294"/>
      <c r="H20" s="294"/>
      <c r="I20" s="294"/>
      <c r="J20" s="294"/>
    </row>
    <row r="21" ht="15.75" customHeight="1">
      <c r="A21" s="299" t="s">
        <v>500</v>
      </c>
      <c r="B21" s="300">
        <f t="shared" ref="B21:C21" si="19">H1459</f>
        <v>0</v>
      </c>
      <c r="C21" s="300" t="str">
        <f t="shared" si="19"/>
        <v/>
      </c>
      <c r="D21" s="301" t="str">
        <f t="shared" si="3"/>
        <v/>
      </c>
      <c r="E21" s="302">
        <f>COUNTA(B1460:B1489)</f>
        <v>0</v>
      </c>
      <c r="F21" s="294"/>
      <c r="G21" s="294"/>
      <c r="H21" s="294"/>
      <c r="I21" s="294"/>
      <c r="J21" s="294"/>
    </row>
    <row r="22" ht="15.75" customHeight="1">
      <c r="A22" s="303" t="s">
        <v>501</v>
      </c>
      <c r="B22" s="304">
        <f t="shared" ref="B22:C22" si="20">H1491</f>
        <v>0</v>
      </c>
      <c r="C22" s="304" t="str">
        <f t="shared" si="20"/>
        <v/>
      </c>
      <c r="D22" s="305" t="str">
        <f t="shared" si="3"/>
        <v/>
      </c>
      <c r="E22" s="306">
        <f>COUNTA(B1492:B1521)</f>
        <v>0</v>
      </c>
      <c r="F22" s="294"/>
      <c r="G22" s="294"/>
      <c r="H22" s="294"/>
      <c r="I22" s="294"/>
      <c r="J22" s="294"/>
    </row>
    <row r="23" ht="15.75" customHeight="1">
      <c r="A23" s="299" t="s">
        <v>502</v>
      </c>
      <c r="B23" s="300">
        <f t="shared" ref="B23:C23" si="21">H1523</f>
        <v>0</v>
      </c>
      <c r="C23" s="300" t="str">
        <f t="shared" si="21"/>
        <v/>
      </c>
      <c r="D23" s="301" t="str">
        <f t="shared" si="3"/>
        <v/>
      </c>
      <c r="E23" s="302">
        <f>COUNTA(B1524:B1553)</f>
        <v>0</v>
      </c>
      <c r="F23" s="294"/>
      <c r="G23" s="294"/>
      <c r="H23" s="294"/>
      <c r="I23" s="294"/>
      <c r="J23" s="294"/>
    </row>
    <row r="24" ht="15.75" customHeight="1">
      <c r="A24" s="303" t="s">
        <v>503</v>
      </c>
      <c r="B24" s="304">
        <f t="shared" ref="B24:C24" si="22">H1555</f>
        <v>0</v>
      </c>
      <c r="C24" s="304" t="str">
        <f t="shared" si="22"/>
        <v/>
      </c>
      <c r="D24" s="305" t="str">
        <f t="shared" si="3"/>
        <v/>
      </c>
      <c r="E24" s="306">
        <f>COUNTA(B1556:B1585)</f>
        <v>0</v>
      </c>
      <c r="F24" s="294"/>
      <c r="G24" s="294"/>
      <c r="H24" s="294"/>
      <c r="I24" s="294"/>
      <c r="J24" s="294"/>
    </row>
    <row r="25" ht="15.75" customHeight="1">
      <c r="A25" s="299" t="s">
        <v>504</v>
      </c>
      <c r="B25" s="300">
        <f t="shared" ref="B25:C25" si="23">H1587</f>
        <v>0</v>
      </c>
      <c r="C25" s="300" t="str">
        <f t="shared" si="23"/>
        <v/>
      </c>
      <c r="D25" s="301" t="str">
        <f t="shared" si="3"/>
        <v/>
      </c>
      <c r="E25" s="302">
        <f>COUNTA(B1588:B1617)</f>
        <v>0</v>
      </c>
      <c r="F25" s="294"/>
      <c r="G25" s="294"/>
      <c r="H25" s="294"/>
      <c r="I25" s="294"/>
      <c r="J25" s="294"/>
    </row>
    <row r="26" ht="15.75" customHeight="1">
      <c r="A26" s="303" t="s">
        <v>505</v>
      </c>
      <c r="B26" s="304">
        <f t="shared" ref="B26:C26" si="24">H1619</f>
        <v>0</v>
      </c>
      <c r="C26" s="304" t="str">
        <f t="shared" si="24"/>
        <v/>
      </c>
      <c r="D26" s="305" t="str">
        <f t="shared" si="3"/>
        <v/>
      </c>
      <c r="E26" s="306">
        <f>COUNTA(B1620:B1649)</f>
        <v>0</v>
      </c>
      <c r="F26" s="294"/>
      <c r="G26" s="294"/>
      <c r="H26" s="294"/>
      <c r="I26" s="294"/>
      <c r="J26" s="294"/>
    </row>
    <row r="27" ht="19.5" customHeight="1">
      <c r="A27" s="307" t="s">
        <v>506</v>
      </c>
      <c r="B27" s="308">
        <f t="shared" ref="B27:C27" si="25">SUM(B5:B26)</f>
        <v>0</v>
      </c>
      <c r="C27" s="308">
        <f t="shared" si="25"/>
        <v>0</v>
      </c>
      <c r="D27" s="309" t="str">
        <f t="shared" si="3"/>
        <v/>
      </c>
      <c r="E27" s="307">
        <f>SUM(E5:E26)</f>
        <v>0</v>
      </c>
      <c r="F27" s="310"/>
      <c r="G27" s="310"/>
      <c r="H27" s="310"/>
      <c r="I27" s="310"/>
      <c r="J27" s="310"/>
    </row>
    <row r="28" ht="7.5" customHeight="1">
      <c r="A28" s="294"/>
      <c r="B28" s="294"/>
      <c r="C28" s="311"/>
      <c r="D28" s="312"/>
      <c r="E28" s="294"/>
      <c r="F28" s="294"/>
      <c r="G28" s="294"/>
      <c r="H28" s="294"/>
      <c r="I28" s="294"/>
      <c r="J28" s="294"/>
    </row>
    <row r="29" ht="18.0" customHeight="1">
      <c r="A29" s="296" t="s">
        <v>479</v>
      </c>
      <c r="B29" s="296" t="s">
        <v>507</v>
      </c>
      <c r="C29" s="297" t="s">
        <v>508</v>
      </c>
      <c r="D29" s="298" t="s">
        <v>509</v>
      </c>
      <c r="E29" s="296" t="s">
        <v>510</v>
      </c>
      <c r="F29" s="296" t="s">
        <v>511</v>
      </c>
      <c r="G29" s="296"/>
      <c r="H29" s="296" t="s">
        <v>512</v>
      </c>
      <c r="I29" s="296" t="s">
        <v>513</v>
      </c>
      <c r="J29" s="296" t="s">
        <v>482</v>
      </c>
    </row>
    <row r="30" ht="24.0" customHeight="1">
      <c r="A30" s="313" t="s">
        <v>514</v>
      </c>
      <c r="B30" s="55"/>
      <c r="C30" s="55"/>
      <c r="D30" s="55"/>
      <c r="E30" s="55"/>
      <c r="F30" s="56"/>
      <c r="G30" s="314"/>
      <c r="H30" s="315">
        <f>SUM(D31:D130)</f>
        <v>0</v>
      </c>
      <c r="I30" s="316"/>
      <c r="J30" s="317" t="str">
        <f>IF(I30&gt;0,H30/I30,"")</f>
        <v/>
      </c>
    </row>
    <row r="31" ht="15.75" customHeight="1">
      <c r="A31" s="318"/>
      <c r="B31" s="319"/>
      <c r="C31" s="320"/>
      <c r="D31" s="321"/>
      <c r="E31" s="322"/>
      <c r="F31" s="323"/>
      <c r="G31" s="324"/>
      <c r="H31" s="324"/>
      <c r="I31" s="324"/>
      <c r="J31" s="324"/>
    </row>
    <row r="32" ht="15.75" customHeight="1">
      <c r="A32" s="325"/>
      <c r="B32" s="326"/>
      <c r="C32" s="327"/>
      <c r="D32" s="328"/>
      <c r="E32" s="329"/>
      <c r="F32" s="330"/>
      <c r="G32" s="331"/>
      <c r="H32" s="331"/>
      <c r="I32" s="331"/>
      <c r="J32" s="331"/>
    </row>
    <row r="33" ht="15.75" customHeight="1">
      <c r="A33" s="318"/>
      <c r="B33" s="319"/>
      <c r="C33" s="320"/>
      <c r="D33" s="321"/>
      <c r="E33" s="322"/>
      <c r="F33" s="323"/>
      <c r="G33" s="324"/>
      <c r="H33" s="324"/>
      <c r="I33" s="324"/>
      <c r="J33" s="324"/>
    </row>
    <row r="34" ht="15.75" customHeight="1">
      <c r="A34" s="325"/>
      <c r="B34" s="326"/>
      <c r="C34" s="327"/>
      <c r="D34" s="328"/>
      <c r="E34" s="329"/>
      <c r="F34" s="330"/>
      <c r="G34" s="331"/>
      <c r="H34" s="331"/>
      <c r="I34" s="331"/>
      <c r="J34" s="331"/>
    </row>
    <row r="35" ht="15.75" customHeight="1">
      <c r="A35" s="318"/>
      <c r="B35" s="319"/>
      <c r="C35" s="320"/>
      <c r="D35" s="321"/>
      <c r="E35" s="322"/>
      <c r="F35" s="323"/>
      <c r="G35" s="324"/>
      <c r="H35" s="324"/>
      <c r="I35" s="324"/>
      <c r="J35" s="324"/>
    </row>
    <row r="36" ht="15.75" customHeight="1">
      <c r="A36" s="325"/>
      <c r="B36" s="326"/>
      <c r="C36" s="327"/>
      <c r="D36" s="328"/>
      <c r="E36" s="329"/>
      <c r="F36" s="330"/>
      <c r="G36" s="331"/>
      <c r="H36" s="331"/>
      <c r="I36" s="331"/>
      <c r="J36" s="331"/>
    </row>
    <row r="37" ht="15.75" customHeight="1">
      <c r="A37" s="318"/>
      <c r="B37" s="319"/>
      <c r="C37" s="320"/>
      <c r="D37" s="321"/>
      <c r="E37" s="322"/>
      <c r="F37" s="323"/>
      <c r="G37" s="324"/>
      <c r="H37" s="324"/>
      <c r="I37" s="324"/>
      <c r="J37" s="324"/>
    </row>
    <row r="38" ht="15.75" customHeight="1">
      <c r="A38" s="325"/>
      <c r="B38" s="326"/>
      <c r="C38" s="327"/>
      <c r="D38" s="328"/>
      <c r="E38" s="329"/>
      <c r="F38" s="330"/>
      <c r="G38" s="331"/>
      <c r="H38" s="331"/>
      <c r="I38" s="331"/>
      <c r="J38" s="331"/>
    </row>
    <row r="39" ht="15.75" customHeight="1">
      <c r="A39" s="318"/>
      <c r="B39" s="319"/>
      <c r="C39" s="320"/>
      <c r="D39" s="321"/>
      <c r="E39" s="322"/>
      <c r="F39" s="323"/>
      <c r="G39" s="324"/>
      <c r="H39" s="324"/>
      <c r="I39" s="324"/>
      <c r="J39" s="324"/>
    </row>
    <row r="40" ht="15.75" customHeight="1">
      <c r="A40" s="325"/>
      <c r="B40" s="326"/>
      <c r="C40" s="327"/>
      <c r="D40" s="328"/>
      <c r="E40" s="329"/>
      <c r="F40" s="330"/>
      <c r="G40" s="331"/>
      <c r="H40" s="331"/>
      <c r="I40" s="331"/>
      <c r="J40" s="331"/>
    </row>
    <row r="41" ht="15.75" customHeight="1">
      <c r="A41" s="318"/>
      <c r="B41" s="319"/>
      <c r="C41" s="320"/>
      <c r="D41" s="321"/>
      <c r="E41" s="322"/>
      <c r="F41" s="323"/>
      <c r="G41" s="324"/>
      <c r="H41" s="324"/>
      <c r="I41" s="324"/>
      <c r="J41" s="324"/>
    </row>
    <row r="42" ht="15.75" customHeight="1">
      <c r="A42" s="325"/>
      <c r="B42" s="326"/>
      <c r="C42" s="327"/>
      <c r="D42" s="328"/>
      <c r="E42" s="329"/>
      <c r="F42" s="330"/>
      <c r="G42" s="331"/>
      <c r="H42" s="331"/>
      <c r="I42" s="331"/>
      <c r="J42" s="331"/>
    </row>
    <row r="43" ht="15.75" customHeight="1">
      <c r="A43" s="318"/>
      <c r="B43" s="319"/>
      <c r="C43" s="320"/>
      <c r="D43" s="321"/>
      <c r="E43" s="322"/>
      <c r="F43" s="323"/>
      <c r="G43" s="324"/>
      <c r="H43" s="324"/>
      <c r="I43" s="324"/>
      <c r="J43" s="324"/>
    </row>
    <row r="44" ht="15.75" customHeight="1">
      <c r="A44" s="325"/>
      <c r="B44" s="326"/>
      <c r="C44" s="327"/>
      <c r="D44" s="328"/>
      <c r="E44" s="329"/>
      <c r="F44" s="330"/>
      <c r="G44" s="331"/>
      <c r="H44" s="331"/>
      <c r="I44" s="331"/>
      <c r="J44" s="331"/>
    </row>
    <row r="45" ht="15.75" customHeight="1">
      <c r="A45" s="318"/>
      <c r="B45" s="319"/>
      <c r="C45" s="320"/>
      <c r="D45" s="321"/>
      <c r="E45" s="322"/>
      <c r="F45" s="323"/>
      <c r="G45" s="324"/>
      <c r="H45" s="324"/>
      <c r="I45" s="324"/>
      <c r="J45" s="324"/>
    </row>
    <row r="46" ht="15.75" customHeight="1">
      <c r="A46" s="325"/>
      <c r="B46" s="326"/>
      <c r="C46" s="327"/>
      <c r="D46" s="328"/>
      <c r="E46" s="329"/>
      <c r="F46" s="330"/>
      <c r="G46" s="331"/>
      <c r="H46" s="331"/>
      <c r="I46" s="331"/>
      <c r="J46" s="331"/>
    </row>
    <row r="47" ht="15.75" customHeight="1">
      <c r="A47" s="318"/>
      <c r="B47" s="319"/>
      <c r="C47" s="320"/>
      <c r="D47" s="321"/>
      <c r="E47" s="322"/>
      <c r="F47" s="323"/>
      <c r="G47" s="324"/>
      <c r="H47" s="324"/>
      <c r="I47" s="324"/>
      <c r="J47" s="324"/>
    </row>
    <row r="48" ht="15.75" customHeight="1">
      <c r="A48" s="325"/>
      <c r="B48" s="326"/>
      <c r="C48" s="327"/>
      <c r="D48" s="328"/>
      <c r="E48" s="329"/>
      <c r="F48" s="330"/>
      <c r="G48" s="331"/>
      <c r="H48" s="331"/>
      <c r="I48" s="331"/>
      <c r="J48" s="331"/>
    </row>
    <row r="49" ht="15.75" customHeight="1">
      <c r="A49" s="318"/>
      <c r="B49" s="319"/>
      <c r="C49" s="320"/>
      <c r="D49" s="321"/>
      <c r="E49" s="322"/>
      <c r="F49" s="323"/>
      <c r="G49" s="324"/>
      <c r="H49" s="324"/>
      <c r="I49" s="324"/>
      <c r="J49" s="324"/>
    </row>
    <row r="50" ht="15.75" customHeight="1">
      <c r="A50" s="325"/>
      <c r="B50" s="326"/>
      <c r="C50" s="327"/>
      <c r="D50" s="328"/>
      <c r="E50" s="329"/>
      <c r="F50" s="330"/>
      <c r="G50" s="331"/>
      <c r="H50" s="331"/>
      <c r="I50" s="331"/>
      <c r="J50" s="331"/>
    </row>
    <row r="51" ht="15.75" customHeight="1">
      <c r="A51" s="318"/>
      <c r="B51" s="319"/>
      <c r="C51" s="320"/>
      <c r="D51" s="321"/>
      <c r="E51" s="322"/>
      <c r="F51" s="323"/>
      <c r="G51" s="324"/>
      <c r="H51" s="324"/>
      <c r="I51" s="324"/>
      <c r="J51" s="324"/>
    </row>
    <row r="52" ht="15.75" customHeight="1">
      <c r="A52" s="325"/>
      <c r="B52" s="326"/>
      <c r="C52" s="327"/>
      <c r="D52" s="328"/>
      <c r="E52" s="329"/>
      <c r="F52" s="330"/>
      <c r="G52" s="331"/>
      <c r="H52" s="331"/>
      <c r="I52" s="331"/>
      <c r="J52" s="331"/>
    </row>
    <row r="53" ht="15.75" customHeight="1">
      <c r="A53" s="318"/>
      <c r="B53" s="319"/>
      <c r="C53" s="320"/>
      <c r="D53" s="321"/>
      <c r="E53" s="322"/>
      <c r="F53" s="323"/>
      <c r="G53" s="324"/>
      <c r="H53" s="324"/>
      <c r="I53" s="324"/>
      <c r="J53" s="324"/>
    </row>
    <row r="54" ht="15.75" customHeight="1">
      <c r="A54" s="325"/>
      <c r="B54" s="326"/>
      <c r="C54" s="327"/>
      <c r="D54" s="328"/>
      <c r="E54" s="329"/>
      <c r="F54" s="330"/>
      <c r="G54" s="331"/>
      <c r="H54" s="331"/>
      <c r="I54" s="331"/>
      <c r="J54" s="331"/>
    </row>
    <row r="55" ht="15.75" customHeight="1">
      <c r="A55" s="318"/>
      <c r="B55" s="319"/>
      <c r="C55" s="320"/>
      <c r="D55" s="321"/>
      <c r="E55" s="322"/>
      <c r="F55" s="323"/>
      <c r="G55" s="324"/>
      <c r="H55" s="324"/>
      <c r="I55" s="324"/>
      <c r="J55" s="324"/>
    </row>
    <row r="56" ht="15.75" customHeight="1">
      <c r="A56" s="325"/>
      <c r="B56" s="326"/>
      <c r="C56" s="327"/>
      <c r="D56" s="328"/>
      <c r="E56" s="329"/>
      <c r="F56" s="330"/>
      <c r="G56" s="331"/>
      <c r="H56" s="331"/>
      <c r="I56" s="331"/>
      <c r="J56" s="331"/>
    </row>
    <row r="57" ht="15.75" customHeight="1">
      <c r="A57" s="318"/>
      <c r="B57" s="319"/>
      <c r="C57" s="320"/>
      <c r="D57" s="321"/>
      <c r="E57" s="322"/>
      <c r="F57" s="323"/>
      <c r="G57" s="324"/>
      <c r="H57" s="324"/>
      <c r="I57" s="324"/>
      <c r="J57" s="324"/>
    </row>
    <row r="58" ht="15.75" customHeight="1">
      <c r="A58" s="325"/>
      <c r="B58" s="326"/>
      <c r="C58" s="327"/>
      <c r="D58" s="328"/>
      <c r="E58" s="329"/>
      <c r="F58" s="330"/>
      <c r="G58" s="331"/>
      <c r="H58" s="331"/>
      <c r="I58" s="331"/>
      <c r="J58" s="331"/>
    </row>
    <row r="59" ht="15.75" customHeight="1">
      <c r="A59" s="318"/>
      <c r="B59" s="319"/>
      <c r="C59" s="320"/>
      <c r="D59" s="321"/>
      <c r="E59" s="322"/>
      <c r="F59" s="323"/>
      <c r="G59" s="324"/>
      <c r="H59" s="324"/>
      <c r="I59" s="324"/>
      <c r="J59" s="324"/>
    </row>
    <row r="60" ht="15.75" customHeight="1">
      <c r="A60" s="325"/>
      <c r="B60" s="326"/>
      <c r="C60" s="327"/>
      <c r="D60" s="328"/>
      <c r="E60" s="329"/>
      <c r="F60" s="330"/>
      <c r="G60" s="331"/>
      <c r="H60" s="331"/>
      <c r="I60" s="331"/>
      <c r="J60" s="331"/>
    </row>
    <row r="61" ht="15.75" customHeight="1">
      <c r="A61" s="318"/>
      <c r="B61" s="319"/>
      <c r="C61" s="320"/>
      <c r="D61" s="321"/>
      <c r="E61" s="322"/>
      <c r="F61" s="323"/>
      <c r="G61" s="324"/>
      <c r="H61" s="324"/>
      <c r="I61" s="324"/>
      <c r="J61" s="324"/>
    </row>
    <row r="62" ht="15.75" customHeight="1">
      <c r="A62" s="325"/>
      <c r="B62" s="326"/>
      <c r="C62" s="327"/>
      <c r="D62" s="328"/>
      <c r="E62" s="329"/>
      <c r="F62" s="330"/>
      <c r="G62" s="331"/>
      <c r="H62" s="331"/>
      <c r="I62" s="331"/>
      <c r="J62" s="331"/>
    </row>
    <row r="63" ht="15.75" customHeight="1">
      <c r="A63" s="318"/>
      <c r="B63" s="319"/>
      <c r="C63" s="320"/>
      <c r="D63" s="321"/>
      <c r="E63" s="322"/>
      <c r="F63" s="323"/>
      <c r="G63" s="324"/>
      <c r="H63" s="324"/>
      <c r="I63" s="324"/>
      <c r="J63" s="324"/>
    </row>
    <row r="64" ht="15.75" customHeight="1">
      <c r="A64" s="325"/>
      <c r="B64" s="326"/>
      <c r="C64" s="327"/>
      <c r="D64" s="328"/>
      <c r="E64" s="329"/>
      <c r="F64" s="330"/>
      <c r="G64" s="331"/>
      <c r="H64" s="331"/>
      <c r="I64" s="331"/>
      <c r="J64" s="331"/>
    </row>
    <row r="65" ht="15.75" customHeight="1">
      <c r="A65" s="318"/>
      <c r="B65" s="319"/>
      <c r="C65" s="320"/>
      <c r="D65" s="321"/>
      <c r="E65" s="322"/>
      <c r="F65" s="323"/>
      <c r="G65" s="324"/>
      <c r="H65" s="324"/>
      <c r="I65" s="324"/>
      <c r="J65" s="324"/>
    </row>
    <row r="66" ht="15.75" customHeight="1">
      <c r="A66" s="325"/>
      <c r="B66" s="326"/>
      <c r="C66" s="327"/>
      <c r="D66" s="328"/>
      <c r="E66" s="329"/>
      <c r="F66" s="330"/>
      <c r="G66" s="331"/>
      <c r="H66" s="331"/>
      <c r="I66" s="331"/>
      <c r="J66" s="331"/>
    </row>
    <row r="67" ht="15.75" customHeight="1">
      <c r="A67" s="318"/>
      <c r="B67" s="319"/>
      <c r="C67" s="320"/>
      <c r="D67" s="321"/>
      <c r="E67" s="322"/>
      <c r="F67" s="323"/>
      <c r="G67" s="324"/>
      <c r="H67" s="324"/>
      <c r="I67" s="324"/>
      <c r="J67" s="324"/>
    </row>
    <row r="68" ht="15.75" customHeight="1">
      <c r="A68" s="325"/>
      <c r="B68" s="326"/>
      <c r="C68" s="327"/>
      <c r="D68" s="328"/>
      <c r="E68" s="329"/>
      <c r="F68" s="330"/>
      <c r="G68" s="331"/>
      <c r="H68" s="331"/>
      <c r="I68" s="331"/>
      <c r="J68" s="331"/>
    </row>
    <row r="69" ht="15.75" customHeight="1">
      <c r="A69" s="318"/>
      <c r="B69" s="319"/>
      <c r="C69" s="320"/>
      <c r="D69" s="321"/>
      <c r="E69" s="322"/>
      <c r="F69" s="323"/>
      <c r="G69" s="324"/>
      <c r="H69" s="324"/>
      <c r="I69" s="324"/>
      <c r="J69" s="324"/>
    </row>
    <row r="70" ht="15.75" customHeight="1">
      <c r="A70" s="325"/>
      <c r="B70" s="326"/>
      <c r="C70" s="327"/>
      <c r="D70" s="328"/>
      <c r="E70" s="329"/>
      <c r="F70" s="330"/>
      <c r="G70" s="331"/>
      <c r="H70" s="331"/>
      <c r="I70" s="331"/>
      <c r="J70" s="331"/>
    </row>
    <row r="71" ht="15.75" customHeight="1">
      <c r="A71" s="318"/>
      <c r="B71" s="319"/>
      <c r="C71" s="320"/>
      <c r="D71" s="321"/>
      <c r="E71" s="322"/>
      <c r="F71" s="323"/>
      <c r="G71" s="324"/>
      <c r="H71" s="324"/>
      <c r="I71" s="324"/>
      <c r="J71" s="324"/>
    </row>
    <row r="72" ht="15.75" customHeight="1">
      <c r="A72" s="325"/>
      <c r="B72" s="326"/>
      <c r="C72" s="327"/>
      <c r="D72" s="328"/>
      <c r="E72" s="329"/>
      <c r="F72" s="330"/>
      <c r="G72" s="331"/>
      <c r="H72" s="331"/>
      <c r="I72" s="331"/>
      <c r="J72" s="331"/>
    </row>
    <row r="73" ht="15.75" customHeight="1">
      <c r="A73" s="318"/>
      <c r="B73" s="319"/>
      <c r="C73" s="320"/>
      <c r="D73" s="321"/>
      <c r="E73" s="322"/>
      <c r="F73" s="323"/>
      <c r="G73" s="324"/>
      <c r="H73" s="324"/>
      <c r="I73" s="324"/>
      <c r="J73" s="324"/>
    </row>
    <row r="74" ht="15.75" customHeight="1">
      <c r="A74" s="325"/>
      <c r="B74" s="326"/>
      <c r="C74" s="327"/>
      <c r="D74" s="328"/>
      <c r="E74" s="329"/>
      <c r="F74" s="330"/>
      <c r="G74" s="331"/>
      <c r="H74" s="331"/>
      <c r="I74" s="331"/>
      <c r="J74" s="331"/>
    </row>
    <row r="75" ht="15.75" customHeight="1">
      <c r="A75" s="318"/>
      <c r="B75" s="319"/>
      <c r="C75" s="320"/>
      <c r="D75" s="321"/>
      <c r="E75" s="322"/>
      <c r="F75" s="323"/>
      <c r="G75" s="324"/>
      <c r="H75" s="324"/>
      <c r="I75" s="324"/>
      <c r="J75" s="324"/>
    </row>
    <row r="76" ht="15.75" customHeight="1">
      <c r="A76" s="325"/>
      <c r="B76" s="326"/>
      <c r="C76" s="327"/>
      <c r="D76" s="328"/>
      <c r="E76" s="329"/>
      <c r="F76" s="330"/>
      <c r="G76" s="331"/>
      <c r="H76" s="331"/>
      <c r="I76" s="331"/>
      <c r="J76" s="331"/>
    </row>
    <row r="77" ht="15.75" customHeight="1">
      <c r="A77" s="318"/>
      <c r="B77" s="319"/>
      <c r="C77" s="320"/>
      <c r="D77" s="321"/>
      <c r="E77" s="322"/>
      <c r="F77" s="323"/>
      <c r="G77" s="324"/>
      <c r="H77" s="324"/>
      <c r="I77" s="324"/>
      <c r="J77" s="324"/>
    </row>
    <row r="78" ht="15.75" customHeight="1">
      <c r="A78" s="325"/>
      <c r="B78" s="326"/>
      <c r="C78" s="327"/>
      <c r="D78" s="328"/>
      <c r="E78" s="329"/>
      <c r="F78" s="330"/>
      <c r="G78" s="331"/>
      <c r="H78" s="331"/>
      <c r="I78" s="331"/>
      <c r="J78" s="331"/>
    </row>
    <row r="79" ht="15.75" customHeight="1">
      <c r="A79" s="318"/>
      <c r="B79" s="319"/>
      <c r="C79" s="320"/>
      <c r="D79" s="321"/>
      <c r="E79" s="322"/>
      <c r="F79" s="323"/>
      <c r="G79" s="324"/>
      <c r="H79" s="324"/>
      <c r="I79" s="324"/>
      <c r="J79" s="324"/>
    </row>
    <row r="80" ht="15.75" customHeight="1">
      <c r="A80" s="325"/>
      <c r="B80" s="326"/>
      <c r="C80" s="327"/>
      <c r="D80" s="328"/>
      <c r="E80" s="329"/>
      <c r="F80" s="330"/>
      <c r="G80" s="331"/>
      <c r="H80" s="331"/>
      <c r="I80" s="331"/>
      <c r="J80" s="331"/>
    </row>
    <row r="81" ht="15.75" customHeight="1">
      <c r="A81" s="318"/>
      <c r="B81" s="319"/>
      <c r="C81" s="320"/>
      <c r="D81" s="321"/>
      <c r="E81" s="322"/>
      <c r="F81" s="323"/>
      <c r="G81" s="324"/>
      <c r="H81" s="324"/>
      <c r="I81" s="324"/>
      <c r="J81" s="324"/>
    </row>
    <row r="82" ht="15.75" customHeight="1">
      <c r="A82" s="325"/>
      <c r="B82" s="326"/>
      <c r="C82" s="327"/>
      <c r="D82" s="328"/>
      <c r="E82" s="329"/>
      <c r="F82" s="330"/>
      <c r="G82" s="331"/>
      <c r="H82" s="331"/>
      <c r="I82" s="331"/>
      <c r="J82" s="331"/>
    </row>
    <row r="83" ht="15.75" customHeight="1">
      <c r="A83" s="318"/>
      <c r="B83" s="319"/>
      <c r="C83" s="320"/>
      <c r="D83" s="321"/>
      <c r="E83" s="322"/>
      <c r="F83" s="323"/>
      <c r="G83" s="324"/>
      <c r="H83" s="324"/>
      <c r="I83" s="324"/>
      <c r="J83" s="324"/>
    </row>
    <row r="84" ht="15.75" customHeight="1">
      <c r="A84" s="325"/>
      <c r="B84" s="326"/>
      <c r="C84" s="327"/>
      <c r="D84" s="328"/>
      <c r="E84" s="329"/>
      <c r="F84" s="330"/>
      <c r="G84" s="331"/>
      <c r="H84" s="331"/>
      <c r="I84" s="331"/>
      <c r="J84" s="331"/>
    </row>
    <row r="85" ht="15.75" customHeight="1">
      <c r="A85" s="318"/>
      <c r="B85" s="319"/>
      <c r="C85" s="320"/>
      <c r="D85" s="321"/>
      <c r="E85" s="322"/>
      <c r="F85" s="323"/>
      <c r="G85" s="324"/>
      <c r="H85" s="324"/>
      <c r="I85" s="324"/>
      <c r="J85" s="324"/>
    </row>
    <row r="86" ht="15.75" customHeight="1">
      <c r="A86" s="325"/>
      <c r="B86" s="326"/>
      <c r="C86" s="327"/>
      <c r="D86" s="328"/>
      <c r="E86" s="329"/>
      <c r="F86" s="330"/>
      <c r="G86" s="331"/>
      <c r="H86" s="331"/>
      <c r="I86" s="331"/>
      <c r="J86" s="331"/>
    </row>
    <row r="87" ht="15.75" customHeight="1">
      <c r="A87" s="318"/>
      <c r="B87" s="319"/>
      <c r="C87" s="320"/>
      <c r="D87" s="321"/>
      <c r="E87" s="322"/>
      <c r="F87" s="323"/>
      <c r="G87" s="324"/>
      <c r="H87" s="324"/>
      <c r="I87" s="324"/>
      <c r="J87" s="324"/>
    </row>
    <row r="88" ht="15.75" customHeight="1">
      <c r="A88" s="325"/>
      <c r="B88" s="326"/>
      <c r="C88" s="327"/>
      <c r="D88" s="328"/>
      <c r="E88" s="329"/>
      <c r="F88" s="330"/>
      <c r="G88" s="331"/>
      <c r="H88" s="331"/>
      <c r="I88" s="331"/>
      <c r="J88" s="331"/>
    </row>
    <row r="89" ht="15.75" customHeight="1">
      <c r="A89" s="318"/>
      <c r="B89" s="319"/>
      <c r="C89" s="320"/>
      <c r="D89" s="321"/>
      <c r="E89" s="322"/>
      <c r="F89" s="323"/>
      <c r="G89" s="324"/>
      <c r="H89" s="324"/>
      <c r="I89" s="324"/>
      <c r="J89" s="324"/>
    </row>
    <row r="90" ht="15.75" customHeight="1">
      <c r="A90" s="325"/>
      <c r="B90" s="326"/>
      <c r="C90" s="327"/>
      <c r="D90" s="328"/>
      <c r="E90" s="329"/>
      <c r="F90" s="330"/>
      <c r="G90" s="331"/>
      <c r="H90" s="331"/>
      <c r="I90" s="331"/>
      <c r="J90" s="331"/>
    </row>
    <row r="91" ht="15.75" customHeight="1">
      <c r="A91" s="318"/>
      <c r="B91" s="319"/>
      <c r="C91" s="320"/>
      <c r="D91" s="321"/>
      <c r="E91" s="322"/>
      <c r="F91" s="323"/>
      <c r="G91" s="324"/>
      <c r="H91" s="324"/>
      <c r="I91" s="324"/>
      <c r="J91" s="324"/>
    </row>
    <row r="92" ht="15.75" customHeight="1">
      <c r="A92" s="325"/>
      <c r="B92" s="326"/>
      <c r="C92" s="327"/>
      <c r="D92" s="328"/>
      <c r="E92" s="329"/>
      <c r="F92" s="330"/>
      <c r="G92" s="331"/>
      <c r="H92" s="331"/>
      <c r="I92" s="331"/>
      <c r="J92" s="331"/>
    </row>
    <row r="93" ht="15.75" customHeight="1">
      <c r="A93" s="318"/>
      <c r="B93" s="319"/>
      <c r="C93" s="320"/>
      <c r="D93" s="321"/>
      <c r="E93" s="322"/>
      <c r="F93" s="323"/>
      <c r="G93" s="324"/>
      <c r="H93" s="324"/>
      <c r="I93" s="324"/>
      <c r="J93" s="324"/>
    </row>
    <row r="94" ht="15.75" customHeight="1">
      <c r="A94" s="325"/>
      <c r="B94" s="326"/>
      <c r="C94" s="327"/>
      <c r="D94" s="328"/>
      <c r="E94" s="329"/>
      <c r="F94" s="330"/>
      <c r="G94" s="331"/>
      <c r="H94" s="331"/>
      <c r="I94" s="331"/>
      <c r="J94" s="331"/>
    </row>
    <row r="95" ht="15.75" customHeight="1">
      <c r="A95" s="318"/>
      <c r="B95" s="319"/>
      <c r="C95" s="320"/>
      <c r="D95" s="321"/>
      <c r="E95" s="322"/>
      <c r="F95" s="323"/>
      <c r="G95" s="324"/>
      <c r="H95" s="324"/>
      <c r="I95" s="324"/>
      <c r="J95" s="324"/>
    </row>
    <row r="96" ht="15.75" customHeight="1">
      <c r="A96" s="325"/>
      <c r="B96" s="326"/>
      <c r="C96" s="327"/>
      <c r="D96" s="328"/>
      <c r="E96" s="329"/>
      <c r="F96" s="330"/>
      <c r="G96" s="331"/>
      <c r="H96" s="331"/>
      <c r="I96" s="331"/>
      <c r="J96" s="331"/>
    </row>
    <row r="97" ht="15.75" customHeight="1">
      <c r="A97" s="318"/>
      <c r="B97" s="319"/>
      <c r="C97" s="320"/>
      <c r="D97" s="321"/>
      <c r="E97" s="322"/>
      <c r="F97" s="323"/>
      <c r="G97" s="324"/>
      <c r="H97" s="324"/>
      <c r="I97" s="324"/>
      <c r="J97" s="324"/>
    </row>
    <row r="98" ht="15.75" customHeight="1">
      <c r="A98" s="325"/>
      <c r="B98" s="326"/>
      <c r="C98" s="327"/>
      <c r="D98" s="328"/>
      <c r="E98" s="329"/>
      <c r="F98" s="330"/>
      <c r="G98" s="331"/>
      <c r="H98" s="331"/>
      <c r="I98" s="331"/>
      <c r="J98" s="331"/>
    </row>
    <row r="99" ht="15.75" customHeight="1">
      <c r="A99" s="318"/>
      <c r="B99" s="319"/>
      <c r="C99" s="320"/>
      <c r="D99" s="321"/>
      <c r="E99" s="322"/>
      <c r="F99" s="323"/>
      <c r="G99" s="324"/>
      <c r="H99" s="324"/>
      <c r="I99" s="324"/>
      <c r="J99" s="324"/>
    </row>
    <row r="100" ht="15.75" customHeight="1">
      <c r="A100" s="325"/>
      <c r="B100" s="326"/>
      <c r="C100" s="327"/>
      <c r="D100" s="328"/>
      <c r="E100" s="329"/>
      <c r="F100" s="330"/>
      <c r="G100" s="331"/>
      <c r="H100" s="331"/>
      <c r="I100" s="331"/>
      <c r="J100" s="331"/>
    </row>
    <row r="101" ht="15.75" customHeight="1">
      <c r="A101" s="318"/>
      <c r="B101" s="319"/>
      <c r="C101" s="320"/>
      <c r="D101" s="321"/>
      <c r="E101" s="322"/>
      <c r="F101" s="323"/>
      <c r="G101" s="324"/>
      <c r="H101" s="324"/>
      <c r="I101" s="324"/>
      <c r="J101" s="324"/>
    </row>
    <row r="102" ht="15.75" customHeight="1">
      <c r="A102" s="325"/>
      <c r="B102" s="326"/>
      <c r="C102" s="327"/>
      <c r="D102" s="328"/>
      <c r="E102" s="329"/>
      <c r="F102" s="330"/>
      <c r="G102" s="331"/>
      <c r="H102" s="331"/>
      <c r="I102" s="331"/>
      <c r="J102" s="331"/>
    </row>
    <row r="103" ht="15.75" customHeight="1">
      <c r="A103" s="318"/>
      <c r="B103" s="319"/>
      <c r="C103" s="320"/>
      <c r="D103" s="321"/>
      <c r="E103" s="322"/>
      <c r="F103" s="323"/>
      <c r="G103" s="324"/>
      <c r="H103" s="324"/>
      <c r="I103" s="324"/>
      <c r="J103" s="324"/>
    </row>
    <row r="104" ht="15.75" customHeight="1">
      <c r="A104" s="325"/>
      <c r="B104" s="326"/>
      <c r="C104" s="327"/>
      <c r="D104" s="328"/>
      <c r="E104" s="329"/>
      <c r="F104" s="330"/>
      <c r="G104" s="331"/>
      <c r="H104" s="332"/>
      <c r="I104" s="332"/>
      <c r="J104" s="333"/>
    </row>
    <row r="105" ht="15.75" customHeight="1">
      <c r="A105" s="318"/>
      <c r="B105" s="319"/>
      <c r="C105" s="320"/>
      <c r="D105" s="321"/>
      <c r="E105" s="322"/>
      <c r="F105" s="323"/>
      <c r="G105" s="324"/>
      <c r="H105" s="324"/>
      <c r="I105" s="324"/>
      <c r="J105" s="324"/>
    </row>
    <row r="106" ht="15.75" customHeight="1">
      <c r="A106" s="325"/>
      <c r="B106" s="326"/>
      <c r="C106" s="327"/>
      <c r="D106" s="328"/>
      <c r="E106" s="329"/>
      <c r="F106" s="330"/>
      <c r="G106" s="331"/>
      <c r="H106" s="331"/>
      <c r="I106" s="331"/>
      <c r="J106" s="331"/>
    </row>
    <row r="107" ht="15.75" customHeight="1">
      <c r="A107" s="318"/>
      <c r="B107" s="319"/>
      <c r="C107" s="320"/>
      <c r="D107" s="321"/>
      <c r="E107" s="322"/>
      <c r="F107" s="323"/>
      <c r="G107" s="324"/>
      <c r="H107" s="324"/>
      <c r="I107" s="324"/>
      <c r="J107" s="324"/>
    </row>
    <row r="108" ht="15.75" customHeight="1">
      <c r="A108" s="325"/>
      <c r="B108" s="326"/>
      <c r="C108" s="327"/>
      <c r="D108" s="328"/>
      <c r="E108" s="329"/>
      <c r="F108" s="330"/>
      <c r="G108" s="331"/>
      <c r="H108" s="331"/>
      <c r="I108" s="331"/>
      <c r="J108" s="331"/>
    </row>
    <row r="109" ht="15.75" customHeight="1">
      <c r="A109" s="318"/>
      <c r="B109" s="319"/>
      <c r="C109" s="320"/>
      <c r="D109" s="321"/>
      <c r="E109" s="322"/>
      <c r="F109" s="323"/>
      <c r="G109" s="324"/>
      <c r="H109" s="324"/>
      <c r="I109" s="324"/>
      <c r="J109" s="324"/>
    </row>
    <row r="110" ht="15.75" customHeight="1">
      <c r="A110" s="325"/>
      <c r="B110" s="326"/>
      <c r="C110" s="327"/>
      <c r="D110" s="328"/>
      <c r="E110" s="329"/>
      <c r="F110" s="330"/>
      <c r="G110" s="331"/>
      <c r="H110" s="331"/>
      <c r="I110" s="331"/>
      <c r="J110" s="331"/>
    </row>
    <row r="111" ht="15.75" customHeight="1">
      <c r="A111" s="318"/>
      <c r="B111" s="319"/>
      <c r="C111" s="320"/>
      <c r="D111" s="321"/>
      <c r="E111" s="322"/>
      <c r="F111" s="323"/>
      <c r="G111" s="324"/>
      <c r="H111" s="324"/>
      <c r="I111" s="324"/>
      <c r="J111" s="324"/>
    </row>
    <row r="112" ht="15.75" customHeight="1">
      <c r="A112" s="325"/>
      <c r="B112" s="326"/>
      <c r="C112" s="327"/>
      <c r="D112" s="328"/>
      <c r="E112" s="329"/>
      <c r="F112" s="330"/>
      <c r="G112" s="331"/>
      <c r="H112" s="331"/>
      <c r="I112" s="331"/>
      <c r="J112" s="331"/>
    </row>
    <row r="113" ht="15.75" customHeight="1">
      <c r="A113" s="318"/>
      <c r="B113" s="319"/>
      <c r="C113" s="320"/>
      <c r="D113" s="321"/>
      <c r="E113" s="322"/>
      <c r="F113" s="323"/>
      <c r="G113" s="324"/>
      <c r="H113" s="324"/>
      <c r="I113" s="324"/>
      <c r="J113" s="324"/>
    </row>
    <row r="114" ht="15.75" customHeight="1">
      <c r="A114" s="325"/>
      <c r="B114" s="326"/>
      <c r="C114" s="327"/>
      <c r="D114" s="328"/>
      <c r="E114" s="329"/>
      <c r="F114" s="330"/>
      <c r="G114" s="331"/>
      <c r="H114" s="331"/>
      <c r="I114" s="331"/>
      <c r="J114" s="331"/>
    </row>
    <row r="115" ht="15.75" customHeight="1">
      <c r="A115" s="318"/>
      <c r="B115" s="319"/>
      <c r="C115" s="320"/>
      <c r="D115" s="321"/>
      <c r="E115" s="322"/>
      <c r="F115" s="323"/>
      <c r="G115" s="324"/>
      <c r="H115" s="324"/>
      <c r="I115" s="324"/>
      <c r="J115" s="324"/>
    </row>
    <row r="116" ht="15.75" customHeight="1">
      <c r="A116" s="325"/>
      <c r="B116" s="326"/>
      <c r="C116" s="327"/>
      <c r="D116" s="328"/>
      <c r="E116" s="329"/>
      <c r="F116" s="330"/>
      <c r="G116" s="331"/>
      <c r="H116" s="331"/>
      <c r="I116" s="331"/>
      <c r="J116" s="331"/>
    </row>
    <row r="117" ht="15.75" customHeight="1">
      <c r="A117" s="318"/>
      <c r="B117" s="319"/>
      <c r="C117" s="320"/>
      <c r="D117" s="321"/>
      <c r="E117" s="322"/>
      <c r="F117" s="323"/>
      <c r="G117" s="324"/>
      <c r="H117" s="324"/>
      <c r="I117" s="324"/>
      <c r="J117" s="324"/>
    </row>
    <row r="118" ht="15.75" customHeight="1">
      <c r="A118" s="325"/>
      <c r="B118" s="326"/>
      <c r="C118" s="327"/>
      <c r="D118" s="328"/>
      <c r="E118" s="329"/>
      <c r="F118" s="330"/>
      <c r="G118" s="331"/>
      <c r="H118" s="331"/>
      <c r="I118" s="331"/>
      <c r="J118" s="331"/>
    </row>
    <row r="119" ht="15.75" customHeight="1">
      <c r="A119" s="318"/>
      <c r="B119" s="319"/>
      <c r="C119" s="320"/>
      <c r="D119" s="321"/>
      <c r="E119" s="322"/>
      <c r="F119" s="323"/>
      <c r="G119" s="324"/>
      <c r="H119" s="324"/>
      <c r="I119" s="324"/>
      <c r="J119" s="324"/>
    </row>
    <row r="120" ht="15.75" customHeight="1">
      <c r="A120" s="325"/>
      <c r="B120" s="326"/>
      <c r="C120" s="327"/>
      <c r="D120" s="328"/>
      <c r="E120" s="329"/>
      <c r="F120" s="330"/>
      <c r="G120" s="331"/>
      <c r="H120" s="331"/>
      <c r="I120" s="331"/>
      <c r="J120" s="331"/>
    </row>
    <row r="121" ht="15.75" customHeight="1">
      <c r="A121" s="318"/>
      <c r="B121" s="319"/>
      <c r="C121" s="320"/>
      <c r="D121" s="321"/>
      <c r="E121" s="322"/>
      <c r="F121" s="323"/>
      <c r="G121" s="324"/>
      <c r="H121" s="324"/>
      <c r="I121" s="324"/>
      <c r="J121" s="324"/>
    </row>
    <row r="122" ht="15.75" customHeight="1">
      <c r="A122" s="325"/>
      <c r="B122" s="326"/>
      <c r="C122" s="327"/>
      <c r="D122" s="328"/>
      <c r="E122" s="329"/>
      <c r="F122" s="330"/>
      <c r="G122" s="331"/>
      <c r="H122" s="331"/>
      <c r="I122" s="331"/>
      <c r="J122" s="331"/>
    </row>
    <row r="123" ht="15.75" customHeight="1">
      <c r="A123" s="318"/>
      <c r="B123" s="319"/>
      <c r="C123" s="320"/>
      <c r="D123" s="321"/>
      <c r="E123" s="322"/>
      <c r="F123" s="323"/>
      <c r="G123" s="324"/>
      <c r="H123" s="324"/>
      <c r="I123" s="324"/>
      <c r="J123" s="324"/>
    </row>
    <row r="124" ht="15.75" customHeight="1">
      <c r="A124" s="325"/>
      <c r="B124" s="326"/>
      <c r="C124" s="327"/>
      <c r="D124" s="328"/>
      <c r="E124" s="329"/>
      <c r="F124" s="330"/>
      <c r="G124" s="331"/>
      <c r="H124" s="331"/>
      <c r="I124" s="331"/>
      <c r="J124" s="331"/>
    </row>
    <row r="125" ht="15.75" customHeight="1">
      <c r="A125" s="318"/>
      <c r="B125" s="319"/>
      <c r="C125" s="320"/>
      <c r="D125" s="321"/>
      <c r="E125" s="322"/>
      <c r="F125" s="323"/>
      <c r="G125" s="324"/>
      <c r="H125" s="324"/>
      <c r="I125" s="324"/>
      <c r="J125" s="324"/>
    </row>
    <row r="126" ht="15.75" customHeight="1">
      <c r="A126" s="325"/>
      <c r="B126" s="326"/>
      <c r="C126" s="327"/>
      <c r="D126" s="328"/>
      <c r="E126" s="329"/>
      <c r="F126" s="330"/>
      <c r="G126" s="331"/>
      <c r="H126" s="331"/>
      <c r="I126" s="331"/>
      <c r="J126" s="331"/>
    </row>
    <row r="127" ht="15.75" customHeight="1">
      <c r="A127" s="318"/>
      <c r="B127" s="319"/>
      <c r="C127" s="320"/>
      <c r="D127" s="321"/>
      <c r="E127" s="322"/>
      <c r="F127" s="323"/>
      <c r="G127" s="324"/>
      <c r="H127" s="324"/>
      <c r="I127" s="324"/>
      <c r="J127" s="324"/>
    </row>
    <row r="128" ht="15.75" customHeight="1">
      <c r="A128" s="325"/>
      <c r="B128" s="326"/>
      <c r="C128" s="327"/>
      <c r="D128" s="328"/>
      <c r="E128" s="329"/>
      <c r="F128" s="330"/>
      <c r="G128" s="331"/>
      <c r="H128" s="331"/>
      <c r="I128" s="331"/>
      <c r="J128" s="331"/>
    </row>
    <row r="129" ht="15.75" customHeight="1">
      <c r="A129" s="318"/>
      <c r="B129" s="319"/>
      <c r="C129" s="320"/>
      <c r="D129" s="321"/>
      <c r="E129" s="322"/>
      <c r="F129" s="323"/>
      <c r="G129" s="324"/>
      <c r="H129" s="324"/>
      <c r="I129" s="324"/>
      <c r="J129" s="324"/>
    </row>
    <row r="130" ht="15.75" customHeight="1">
      <c r="A130" s="325"/>
      <c r="B130" s="326"/>
      <c r="C130" s="327"/>
      <c r="D130" s="328"/>
      <c r="E130" s="329"/>
      <c r="F130" s="330"/>
      <c r="G130" s="331"/>
      <c r="H130" s="331"/>
      <c r="I130" s="331"/>
      <c r="J130" s="331"/>
    </row>
    <row r="131" ht="6.0" customHeight="1">
      <c r="A131" s="334"/>
      <c r="B131" s="334"/>
      <c r="C131" s="335"/>
      <c r="D131" s="336"/>
      <c r="E131" s="334"/>
      <c r="F131" s="334"/>
      <c r="G131" s="334"/>
      <c r="H131" s="334"/>
      <c r="I131" s="334"/>
      <c r="J131" s="334"/>
    </row>
    <row r="132" ht="24.0" customHeight="1">
      <c r="A132" s="313" t="s">
        <v>515</v>
      </c>
      <c r="B132" s="55"/>
      <c r="C132" s="55"/>
      <c r="D132" s="55"/>
      <c r="E132" s="55"/>
      <c r="F132" s="56"/>
      <c r="G132" s="314"/>
      <c r="H132" s="315">
        <f>SUM(D133:D283)</f>
        <v>0</v>
      </c>
      <c r="I132" s="316"/>
      <c r="J132" s="317" t="str">
        <f>IF(I132&gt;0,H132/I132,"")</f>
        <v/>
      </c>
    </row>
    <row r="133" ht="15.75" customHeight="1">
      <c r="A133" s="337"/>
      <c r="B133" s="338"/>
      <c r="C133" s="339"/>
      <c r="D133" s="340"/>
      <c r="E133" s="341"/>
      <c r="F133" s="342"/>
      <c r="G133" s="343"/>
      <c r="H133" s="343"/>
      <c r="I133" s="343"/>
      <c r="J133" s="343"/>
    </row>
    <row r="134" ht="15.75" customHeight="1">
      <c r="A134" s="344"/>
      <c r="B134" s="345"/>
      <c r="C134" s="346"/>
      <c r="D134" s="347"/>
      <c r="E134" s="348"/>
      <c r="F134" s="349"/>
      <c r="G134" s="350"/>
      <c r="H134" s="350"/>
      <c r="I134" s="350"/>
      <c r="J134" s="350"/>
    </row>
    <row r="135" ht="15.75" customHeight="1">
      <c r="A135" s="337"/>
      <c r="B135" s="338"/>
      <c r="C135" s="339"/>
      <c r="D135" s="340"/>
      <c r="E135" s="341"/>
      <c r="F135" s="342"/>
      <c r="G135" s="343"/>
      <c r="H135" s="343"/>
      <c r="I135" s="343"/>
      <c r="J135" s="343"/>
    </row>
    <row r="136" ht="15.75" customHeight="1">
      <c r="A136" s="344"/>
      <c r="B136" s="345"/>
      <c r="C136" s="346"/>
      <c r="D136" s="347"/>
      <c r="E136" s="348"/>
      <c r="F136" s="349"/>
      <c r="G136" s="350"/>
      <c r="H136" s="350"/>
      <c r="I136" s="350"/>
      <c r="J136" s="350"/>
    </row>
    <row r="137" ht="15.75" customHeight="1">
      <c r="A137" s="337"/>
      <c r="B137" s="338"/>
      <c r="C137" s="339"/>
      <c r="D137" s="340"/>
      <c r="E137" s="341"/>
      <c r="F137" s="342"/>
      <c r="G137" s="343"/>
      <c r="H137" s="343"/>
      <c r="I137" s="343"/>
      <c r="J137" s="343"/>
    </row>
    <row r="138" ht="15.75" customHeight="1">
      <c r="A138" s="344"/>
      <c r="B138" s="345"/>
      <c r="C138" s="346"/>
      <c r="D138" s="347"/>
      <c r="E138" s="348"/>
      <c r="F138" s="349"/>
      <c r="G138" s="350"/>
      <c r="H138" s="350"/>
      <c r="I138" s="350"/>
      <c r="J138" s="350"/>
    </row>
    <row r="139" ht="15.75" customHeight="1">
      <c r="A139" s="337"/>
      <c r="B139" s="338"/>
      <c r="C139" s="339"/>
      <c r="D139" s="340"/>
      <c r="E139" s="341"/>
      <c r="F139" s="342"/>
      <c r="G139" s="343"/>
      <c r="H139" s="343"/>
      <c r="I139" s="343"/>
      <c r="J139" s="343"/>
    </row>
    <row r="140" ht="15.75" customHeight="1">
      <c r="A140" s="344"/>
      <c r="B140" s="345"/>
      <c r="C140" s="346"/>
      <c r="D140" s="347"/>
      <c r="E140" s="348"/>
      <c r="F140" s="349"/>
      <c r="G140" s="350"/>
      <c r="H140" s="350"/>
      <c r="I140" s="350"/>
      <c r="J140" s="350"/>
    </row>
    <row r="141" ht="15.75" customHeight="1">
      <c r="A141" s="337"/>
      <c r="B141" s="338"/>
      <c r="C141" s="339"/>
      <c r="D141" s="340"/>
      <c r="E141" s="341"/>
      <c r="F141" s="342"/>
      <c r="G141" s="343"/>
      <c r="H141" s="343"/>
      <c r="I141" s="343"/>
      <c r="J141" s="343"/>
    </row>
    <row r="142" ht="15.75" customHeight="1">
      <c r="A142" s="344"/>
      <c r="B142" s="345"/>
      <c r="C142" s="346"/>
      <c r="D142" s="347"/>
      <c r="E142" s="348"/>
      <c r="F142" s="349"/>
      <c r="G142" s="350"/>
      <c r="H142" s="350"/>
      <c r="I142" s="350"/>
      <c r="J142" s="350"/>
    </row>
    <row r="143" ht="15.75" customHeight="1">
      <c r="A143" s="337"/>
      <c r="B143" s="338"/>
      <c r="C143" s="339"/>
      <c r="D143" s="340"/>
      <c r="E143" s="341"/>
      <c r="F143" s="342"/>
      <c r="G143" s="343"/>
      <c r="H143" s="343"/>
      <c r="I143" s="343"/>
      <c r="J143" s="343"/>
    </row>
    <row r="144" ht="15.75" customHeight="1">
      <c r="A144" s="344"/>
      <c r="B144" s="345"/>
      <c r="C144" s="346"/>
      <c r="D144" s="347"/>
      <c r="E144" s="348"/>
      <c r="F144" s="349"/>
      <c r="G144" s="350"/>
      <c r="H144" s="350"/>
      <c r="I144" s="350"/>
      <c r="J144" s="350"/>
    </row>
    <row r="145" ht="15.75" customHeight="1">
      <c r="A145" s="337"/>
      <c r="B145" s="338"/>
      <c r="C145" s="339"/>
      <c r="D145" s="340"/>
      <c r="E145" s="341"/>
      <c r="F145" s="342"/>
      <c r="G145" s="343"/>
      <c r="H145" s="343"/>
      <c r="I145" s="343"/>
      <c r="J145" s="343"/>
    </row>
    <row r="146" ht="15.75" customHeight="1">
      <c r="A146" s="344"/>
      <c r="B146" s="345"/>
      <c r="C146" s="346"/>
      <c r="D146" s="347"/>
      <c r="E146" s="348"/>
      <c r="F146" s="349"/>
      <c r="G146" s="350"/>
      <c r="H146" s="350"/>
      <c r="I146" s="350"/>
      <c r="J146" s="350"/>
    </row>
    <row r="147" ht="15.75" customHeight="1">
      <c r="A147" s="337"/>
      <c r="B147" s="338"/>
      <c r="C147" s="339"/>
      <c r="D147" s="340"/>
      <c r="E147" s="341"/>
      <c r="F147" s="342"/>
      <c r="G147" s="343"/>
      <c r="H147" s="343"/>
      <c r="I147" s="343"/>
      <c r="J147" s="343"/>
    </row>
    <row r="148" ht="15.75" customHeight="1">
      <c r="A148" s="344"/>
      <c r="B148" s="345"/>
      <c r="C148" s="346"/>
      <c r="D148" s="347"/>
      <c r="E148" s="348"/>
      <c r="F148" s="349"/>
      <c r="G148" s="350"/>
      <c r="H148" s="350"/>
      <c r="I148" s="350"/>
      <c r="J148" s="350"/>
    </row>
    <row r="149" ht="15.75" customHeight="1">
      <c r="A149" s="337"/>
      <c r="B149" s="338"/>
      <c r="C149" s="339"/>
      <c r="D149" s="340"/>
      <c r="E149" s="341"/>
      <c r="F149" s="342"/>
      <c r="G149" s="343"/>
      <c r="H149" s="343"/>
      <c r="I149" s="343"/>
      <c r="J149" s="343"/>
    </row>
    <row r="150" ht="15.75" customHeight="1">
      <c r="A150" s="344"/>
      <c r="B150" s="345"/>
      <c r="C150" s="346"/>
      <c r="D150" s="347"/>
      <c r="E150" s="348"/>
      <c r="F150" s="349"/>
      <c r="G150" s="350"/>
      <c r="H150" s="350"/>
      <c r="I150" s="350"/>
      <c r="J150" s="350"/>
    </row>
    <row r="151" ht="15.75" customHeight="1">
      <c r="A151" s="337"/>
      <c r="B151" s="338"/>
      <c r="C151" s="339"/>
      <c r="D151" s="340"/>
      <c r="E151" s="341"/>
      <c r="F151" s="342"/>
      <c r="G151" s="343"/>
      <c r="H151" s="343"/>
      <c r="I151" s="343"/>
      <c r="J151" s="343"/>
    </row>
    <row r="152" ht="15.75" customHeight="1">
      <c r="A152" s="344"/>
      <c r="B152" s="345"/>
      <c r="C152" s="346"/>
      <c r="D152" s="347"/>
      <c r="E152" s="348"/>
      <c r="F152" s="349"/>
      <c r="G152" s="350"/>
      <c r="H152" s="350"/>
      <c r="I152" s="350"/>
      <c r="J152" s="350"/>
    </row>
    <row r="153" ht="15.75" customHeight="1">
      <c r="A153" s="337"/>
      <c r="B153" s="338"/>
      <c r="C153" s="339"/>
      <c r="D153" s="340"/>
      <c r="E153" s="341"/>
      <c r="F153" s="342"/>
      <c r="G153" s="343"/>
      <c r="H153" s="343"/>
      <c r="I153" s="343"/>
      <c r="J153" s="343"/>
    </row>
    <row r="154" ht="15.75" customHeight="1">
      <c r="A154" s="344"/>
      <c r="B154" s="345"/>
      <c r="C154" s="346"/>
      <c r="D154" s="347"/>
      <c r="E154" s="348"/>
      <c r="F154" s="349"/>
      <c r="G154" s="350"/>
      <c r="H154" s="350"/>
      <c r="I154" s="350"/>
      <c r="J154" s="350"/>
    </row>
    <row r="155" ht="15.75" customHeight="1">
      <c r="A155" s="337"/>
      <c r="B155" s="338"/>
      <c r="C155" s="339"/>
      <c r="D155" s="340"/>
      <c r="E155" s="341"/>
      <c r="F155" s="342"/>
      <c r="G155" s="343"/>
      <c r="H155" s="343"/>
      <c r="I155" s="343"/>
      <c r="J155" s="343"/>
    </row>
    <row r="156" ht="15.75" customHeight="1">
      <c r="A156" s="344"/>
      <c r="B156" s="345"/>
      <c r="C156" s="346"/>
      <c r="D156" s="347"/>
      <c r="E156" s="348"/>
      <c r="F156" s="349"/>
      <c r="G156" s="350"/>
      <c r="H156" s="350"/>
      <c r="I156" s="350"/>
      <c r="J156" s="350"/>
    </row>
    <row r="157" ht="15.75" customHeight="1">
      <c r="A157" s="337"/>
      <c r="B157" s="338"/>
      <c r="C157" s="339"/>
      <c r="D157" s="340"/>
      <c r="E157" s="341"/>
      <c r="F157" s="342"/>
      <c r="G157" s="343"/>
      <c r="H157" s="343"/>
      <c r="I157" s="343"/>
      <c r="J157" s="343"/>
    </row>
    <row r="158" ht="15.75" customHeight="1">
      <c r="A158" s="344"/>
      <c r="B158" s="345"/>
      <c r="C158" s="346"/>
      <c r="D158" s="347"/>
      <c r="E158" s="348"/>
      <c r="F158" s="349"/>
      <c r="G158" s="350"/>
      <c r="H158" s="350"/>
      <c r="I158" s="350"/>
      <c r="J158" s="350"/>
    </row>
    <row r="159" ht="15.75" customHeight="1">
      <c r="A159" s="337"/>
      <c r="B159" s="338"/>
      <c r="C159" s="339"/>
      <c r="D159" s="340"/>
      <c r="E159" s="341"/>
      <c r="F159" s="342"/>
      <c r="G159" s="343"/>
      <c r="H159" s="343"/>
      <c r="I159" s="343"/>
      <c r="J159" s="343"/>
    </row>
    <row r="160" ht="15.75" customHeight="1">
      <c r="A160" s="344"/>
      <c r="B160" s="345"/>
      <c r="C160" s="346"/>
      <c r="D160" s="347"/>
      <c r="E160" s="348"/>
      <c r="F160" s="349"/>
      <c r="G160" s="350"/>
      <c r="H160" s="350"/>
      <c r="I160" s="350"/>
      <c r="J160" s="350"/>
    </row>
    <row r="161" ht="15.75" customHeight="1">
      <c r="A161" s="337"/>
      <c r="B161" s="338"/>
      <c r="C161" s="339"/>
      <c r="D161" s="340"/>
      <c r="E161" s="341"/>
      <c r="F161" s="342"/>
      <c r="G161" s="343"/>
      <c r="H161" s="343"/>
      <c r="I161" s="343"/>
      <c r="J161" s="343"/>
    </row>
    <row r="162" ht="15.75" customHeight="1">
      <c r="A162" s="344"/>
      <c r="B162" s="345"/>
      <c r="C162" s="346"/>
      <c r="D162" s="347"/>
      <c r="E162" s="348"/>
      <c r="F162" s="349"/>
      <c r="G162" s="350"/>
      <c r="H162" s="350"/>
      <c r="I162" s="350"/>
      <c r="J162" s="350"/>
    </row>
    <row r="163" ht="15.75" customHeight="1">
      <c r="A163" s="337"/>
      <c r="B163" s="338"/>
      <c r="C163" s="339"/>
      <c r="D163" s="340"/>
      <c r="E163" s="341"/>
      <c r="F163" s="342"/>
      <c r="G163" s="343"/>
      <c r="H163" s="343"/>
      <c r="I163" s="343"/>
      <c r="J163" s="343"/>
    </row>
    <row r="164" ht="15.75" customHeight="1">
      <c r="A164" s="344"/>
      <c r="B164" s="345"/>
      <c r="C164" s="346"/>
      <c r="D164" s="347"/>
      <c r="E164" s="348"/>
      <c r="F164" s="349"/>
      <c r="G164" s="350"/>
      <c r="H164" s="350"/>
      <c r="I164" s="350"/>
      <c r="J164" s="350"/>
    </row>
    <row r="165" ht="15.75" customHeight="1">
      <c r="A165" s="337"/>
      <c r="B165" s="338"/>
      <c r="C165" s="339"/>
      <c r="D165" s="340"/>
      <c r="E165" s="341"/>
      <c r="F165" s="342"/>
      <c r="G165" s="343"/>
      <c r="H165" s="343"/>
      <c r="I165" s="343"/>
      <c r="J165" s="343"/>
    </row>
    <row r="166" ht="15.75" customHeight="1">
      <c r="A166" s="344"/>
      <c r="B166" s="345"/>
      <c r="C166" s="346"/>
      <c r="D166" s="347"/>
      <c r="E166" s="348"/>
      <c r="F166" s="349"/>
      <c r="G166" s="350"/>
      <c r="H166" s="350"/>
      <c r="I166" s="350"/>
      <c r="J166" s="350"/>
    </row>
    <row r="167" ht="15.75" customHeight="1">
      <c r="A167" s="337"/>
      <c r="B167" s="338"/>
      <c r="C167" s="339"/>
      <c r="D167" s="340"/>
      <c r="E167" s="341"/>
      <c r="F167" s="342"/>
      <c r="G167" s="343"/>
      <c r="H167" s="343"/>
      <c r="I167" s="343"/>
      <c r="J167" s="343"/>
    </row>
    <row r="168" ht="15.75" customHeight="1">
      <c r="A168" s="344"/>
      <c r="B168" s="345"/>
      <c r="C168" s="346"/>
      <c r="D168" s="347"/>
      <c r="E168" s="348"/>
      <c r="F168" s="349"/>
      <c r="G168" s="350"/>
      <c r="H168" s="350"/>
      <c r="I168" s="350"/>
      <c r="J168" s="350"/>
    </row>
    <row r="169" ht="15.75" customHeight="1">
      <c r="A169" s="337"/>
      <c r="B169" s="338"/>
      <c r="C169" s="339"/>
      <c r="D169" s="340"/>
      <c r="E169" s="341"/>
      <c r="F169" s="342"/>
      <c r="G169" s="343"/>
      <c r="H169" s="343"/>
      <c r="I169" s="343"/>
      <c r="J169" s="343"/>
    </row>
    <row r="170" ht="15.75" customHeight="1">
      <c r="A170" s="344"/>
      <c r="B170" s="345"/>
      <c r="C170" s="346"/>
      <c r="D170" s="347"/>
      <c r="E170" s="348"/>
      <c r="F170" s="349"/>
      <c r="G170" s="350"/>
      <c r="H170" s="350"/>
      <c r="I170" s="350"/>
      <c r="J170" s="350"/>
    </row>
    <row r="171" ht="15.75" customHeight="1">
      <c r="A171" s="337"/>
      <c r="B171" s="338"/>
      <c r="C171" s="339"/>
      <c r="D171" s="340"/>
      <c r="E171" s="341"/>
      <c r="F171" s="342"/>
      <c r="G171" s="343"/>
      <c r="H171" s="343"/>
      <c r="I171" s="343"/>
      <c r="J171" s="343"/>
    </row>
    <row r="172" ht="15.75" customHeight="1">
      <c r="A172" s="344"/>
      <c r="B172" s="345"/>
      <c r="C172" s="346"/>
      <c r="D172" s="347"/>
      <c r="E172" s="348"/>
      <c r="F172" s="349"/>
      <c r="G172" s="350"/>
      <c r="H172" s="350"/>
      <c r="I172" s="350"/>
      <c r="J172" s="350"/>
    </row>
    <row r="173" ht="15.75" customHeight="1">
      <c r="A173" s="337"/>
      <c r="B173" s="338"/>
      <c r="C173" s="339"/>
      <c r="D173" s="340"/>
      <c r="E173" s="341"/>
      <c r="F173" s="342"/>
      <c r="G173" s="343"/>
      <c r="H173" s="343"/>
      <c r="I173" s="343"/>
      <c r="J173" s="343"/>
    </row>
    <row r="174" ht="15.75" customHeight="1">
      <c r="A174" s="344"/>
      <c r="B174" s="345"/>
      <c r="C174" s="346"/>
      <c r="D174" s="347"/>
      <c r="E174" s="348"/>
      <c r="F174" s="349"/>
      <c r="G174" s="350"/>
      <c r="H174" s="350"/>
      <c r="I174" s="350"/>
      <c r="J174" s="350"/>
    </row>
    <row r="175" ht="15.75" customHeight="1">
      <c r="A175" s="337"/>
      <c r="B175" s="338"/>
      <c r="C175" s="339"/>
      <c r="D175" s="340"/>
      <c r="E175" s="341"/>
      <c r="F175" s="342"/>
      <c r="G175" s="343"/>
      <c r="H175" s="343"/>
      <c r="I175" s="343"/>
      <c r="J175" s="343"/>
    </row>
    <row r="176" ht="15.75" customHeight="1">
      <c r="A176" s="344"/>
      <c r="B176" s="345"/>
      <c r="C176" s="346"/>
      <c r="D176" s="347"/>
      <c r="E176" s="348"/>
      <c r="F176" s="349"/>
      <c r="G176" s="350"/>
      <c r="H176" s="350"/>
      <c r="I176" s="350"/>
      <c r="J176" s="350"/>
    </row>
    <row r="177" ht="15.75" customHeight="1">
      <c r="A177" s="337"/>
      <c r="B177" s="338"/>
      <c r="C177" s="339"/>
      <c r="D177" s="340"/>
      <c r="E177" s="341"/>
      <c r="F177" s="342"/>
      <c r="G177" s="343"/>
      <c r="H177" s="343"/>
      <c r="I177" s="343"/>
      <c r="J177" s="343"/>
    </row>
    <row r="178" ht="15.75" customHeight="1">
      <c r="A178" s="344"/>
      <c r="B178" s="345"/>
      <c r="C178" s="346"/>
      <c r="D178" s="347"/>
      <c r="E178" s="348"/>
      <c r="F178" s="349"/>
      <c r="G178" s="350"/>
      <c r="H178" s="350"/>
      <c r="I178" s="350"/>
      <c r="J178" s="350"/>
    </row>
    <row r="179" ht="15.75" customHeight="1">
      <c r="A179" s="337"/>
      <c r="B179" s="338"/>
      <c r="C179" s="339"/>
      <c r="D179" s="340"/>
      <c r="E179" s="341"/>
      <c r="F179" s="342"/>
      <c r="G179" s="343"/>
      <c r="H179" s="343"/>
      <c r="I179" s="343"/>
      <c r="J179" s="343"/>
    </row>
    <row r="180" ht="15.75" customHeight="1">
      <c r="A180" s="344"/>
      <c r="B180" s="345"/>
      <c r="C180" s="346"/>
      <c r="D180" s="347"/>
      <c r="E180" s="348"/>
      <c r="F180" s="349"/>
      <c r="G180" s="350"/>
      <c r="H180" s="350"/>
      <c r="I180" s="350"/>
      <c r="J180" s="350"/>
    </row>
    <row r="181" ht="15.75" customHeight="1">
      <c r="A181" s="337"/>
      <c r="B181" s="338"/>
      <c r="C181" s="339"/>
      <c r="D181" s="340"/>
      <c r="E181" s="341"/>
      <c r="F181" s="342"/>
      <c r="G181" s="343"/>
      <c r="H181" s="343"/>
      <c r="I181" s="343"/>
      <c r="J181" s="343"/>
    </row>
    <row r="182" ht="15.75" customHeight="1">
      <c r="A182" s="344"/>
      <c r="B182" s="345"/>
      <c r="C182" s="346"/>
      <c r="D182" s="347"/>
      <c r="E182" s="348"/>
      <c r="F182" s="349"/>
      <c r="G182" s="350"/>
      <c r="H182" s="350"/>
      <c r="I182" s="350"/>
      <c r="J182" s="350"/>
    </row>
    <row r="183" ht="15.75" customHeight="1">
      <c r="A183" s="337"/>
      <c r="B183" s="338"/>
      <c r="C183" s="339"/>
      <c r="D183" s="340"/>
      <c r="E183" s="341"/>
      <c r="F183" s="342"/>
      <c r="G183" s="343"/>
      <c r="H183" s="343"/>
      <c r="I183" s="343"/>
      <c r="J183" s="343"/>
    </row>
    <row r="184" ht="15.75" customHeight="1">
      <c r="A184" s="344"/>
      <c r="B184" s="345"/>
      <c r="C184" s="346"/>
      <c r="D184" s="347"/>
      <c r="E184" s="348"/>
      <c r="F184" s="349"/>
      <c r="G184" s="350"/>
      <c r="H184" s="350"/>
      <c r="I184" s="350"/>
      <c r="J184" s="350"/>
    </row>
    <row r="185" ht="15.75" customHeight="1">
      <c r="A185" s="337"/>
      <c r="B185" s="338"/>
      <c r="C185" s="339"/>
      <c r="D185" s="340"/>
      <c r="E185" s="341"/>
      <c r="F185" s="342"/>
      <c r="G185" s="343"/>
      <c r="H185" s="343"/>
      <c r="I185" s="343"/>
      <c r="J185" s="343"/>
    </row>
    <row r="186" ht="15.75" customHeight="1">
      <c r="A186" s="344"/>
      <c r="B186" s="345"/>
      <c r="C186" s="346"/>
      <c r="D186" s="347"/>
      <c r="E186" s="348"/>
      <c r="F186" s="349"/>
      <c r="G186" s="350"/>
      <c r="H186" s="350"/>
      <c r="I186" s="350"/>
      <c r="J186" s="350"/>
    </row>
    <row r="187" ht="15.75" customHeight="1">
      <c r="A187" s="337"/>
      <c r="B187" s="338"/>
      <c r="C187" s="339"/>
      <c r="D187" s="340"/>
      <c r="E187" s="341"/>
      <c r="F187" s="342"/>
      <c r="G187" s="343"/>
      <c r="H187" s="343"/>
      <c r="I187" s="343"/>
      <c r="J187" s="343"/>
    </row>
    <row r="188" ht="15.75" customHeight="1">
      <c r="A188" s="344"/>
      <c r="B188" s="345"/>
      <c r="C188" s="346"/>
      <c r="D188" s="347"/>
      <c r="E188" s="348"/>
      <c r="F188" s="349"/>
      <c r="G188" s="350"/>
      <c r="H188" s="350"/>
      <c r="I188" s="350"/>
      <c r="J188" s="350"/>
    </row>
    <row r="189" ht="15.75" customHeight="1">
      <c r="A189" s="337"/>
      <c r="B189" s="338"/>
      <c r="C189" s="339"/>
      <c r="D189" s="340"/>
      <c r="E189" s="341"/>
      <c r="F189" s="342"/>
      <c r="G189" s="343"/>
      <c r="H189" s="343"/>
      <c r="I189" s="343"/>
      <c r="J189" s="343"/>
    </row>
    <row r="190" ht="15.75" customHeight="1">
      <c r="A190" s="344"/>
      <c r="B190" s="345"/>
      <c r="C190" s="346"/>
      <c r="D190" s="347"/>
      <c r="E190" s="348"/>
      <c r="F190" s="349"/>
      <c r="G190" s="350"/>
      <c r="H190" s="350"/>
      <c r="I190" s="350"/>
      <c r="J190" s="350"/>
    </row>
    <row r="191" ht="15.75" customHeight="1">
      <c r="A191" s="337"/>
      <c r="B191" s="338"/>
      <c r="C191" s="339"/>
      <c r="D191" s="340"/>
      <c r="E191" s="341"/>
      <c r="F191" s="342"/>
      <c r="G191" s="343"/>
      <c r="H191" s="343"/>
      <c r="I191" s="343"/>
      <c r="J191" s="343"/>
    </row>
    <row r="192" ht="15.75" customHeight="1">
      <c r="A192" s="344"/>
      <c r="B192" s="345"/>
      <c r="C192" s="346"/>
      <c r="D192" s="347"/>
      <c r="E192" s="348"/>
      <c r="F192" s="349"/>
      <c r="G192" s="350"/>
      <c r="H192" s="350"/>
      <c r="I192" s="350"/>
      <c r="J192" s="350"/>
    </row>
    <row r="193" ht="15.75" customHeight="1">
      <c r="A193" s="337"/>
      <c r="B193" s="338"/>
      <c r="C193" s="339"/>
      <c r="D193" s="340"/>
      <c r="E193" s="341"/>
      <c r="F193" s="342"/>
      <c r="G193" s="343"/>
      <c r="H193" s="343"/>
      <c r="I193" s="343"/>
      <c r="J193" s="343"/>
    </row>
    <row r="194" ht="15.75" customHeight="1">
      <c r="A194" s="344"/>
      <c r="B194" s="345"/>
      <c r="C194" s="346"/>
      <c r="D194" s="347"/>
      <c r="E194" s="348"/>
      <c r="F194" s="349"/>
      <c r="G194" s="350"/>
      <c r="H194" s="350"/>
      <c r="I194" s="350"/>
      <c r="J194" s="350"/>
    </row>
    <row r="195" ht="15.75" customHeight="1">
      <c r="A195" s="337"/>
      <c r="B195" s="338"/>
      <c r="C195" s="339"/>
      <c r="D195" s="340"/>
      <c r="E195" s="341"/>
      <c r="F195" s="342"/>
      <c r="G195" s="343"/>
      <c r="H195" s="343"/>
      <c r="I195" s="343"/>
      <c r="J195" s="343"/>
    </row>
    <row r="196" ht="15.75" customHeight="1">
      <c r="A196" s="344"/>
      <c r="B196" s="345"/>
      <c r="C196" s="346"/>
      <c r="D196" s="347"/>
      <c r="E196" s="348"/>
      <c r="F196" s="349"/>
      <c r="G196" s="350"/>
      <c r="H196" s="350"/>
      <c r="I196" s="350"/>
      <c r="J196" s="350"/>
    </row>
    <row r="197" ht="15.75" customHeight="1">
      <c r="A197" s="337"/>
      <c r="B197" s="338"/>
      <c r="C197" s="339"/>
      <c r="D197" s="340"/>
      <c r="E197" s="341"/>
      <c r="F197" s="342"/>
      <c r="G197" s="343"/>
      <c r="H197" s="343"/>
      <c r="I197" s="343"/>
      <c r="J197" s="343"/>
    </row>
    <row r="198" ht="15.75" customHeight="1">
      <c r="A198" s="344"/>
      <c r="B198" s="345"/>
      <c r="C198" s="346"/>
      <c r="D198" s="347"/>
      <c r="E198" s="348"/>
      <c r="F198" s="349"/>
      <c r="G198" s="350"/>
      <c r="H198" s="350"/>
      <c r="I198" s="350"/>
      <c r="J198" s="350"/>
    </row>
    <row r="199" ht="15.75" customHeight="1">
      <c r="A199" s="337"/>
      <c r="B199" s="338"/>
      <c r="C199" s="339"/>
      <c r="D199" s="340"/>
      <c r="E199" s="341"/>
      <c r="F199" s="342"/>
      <c r="G199" s="343"/>
      <c r="H199" s="343"/>
      <c r="I199" s="343"/>
      <c r="J199" s="343"/>
    </row>
    <row r="200" ht="15.75" customHeight="1">
      <c r="A200" s="344"/>
      <c r="B200" s="345"/>
      <c r="C200" s="346"/>
      <c r="D200" s="347"/>
      <c r="E200" s="348"/>
      <c r="F200" s="349"/>
      <c r="G200" s="350"/>
      <c r="H200" s="350"/>
      <c r="I200" s="350"/>
      <c r="J200" s="350"/>
    </row>
    <row r="201" ht="15.75" customHeight="1">
      <c r="A201" s="337"/>
      <c r="B201" s="338"/>
      <c r="C201" s="339"/>
      <c r="D201" s="340"/>
      <c r="E201" s="341"/>
      <c r="F201" s="342"/>
      <c r="G201" s="343"/>
      <c r="H201" s="343"/>
      <c r="I201" s="343"/>
      <c r="J201" s="343"/>
    </row>
    <row r="202" ht="15.75" customHeight="1">
      <c r="A202" s="344"/>
      <c r="B202" s="345"/>
      <c r="C202" s="346"/>
      <c r="D202" s="347"/>
      <c r="E202" s="348"/>
      <c r="F202" s="349"/>
      <c r="G202" s="350"/>
      <c r="H202" s="350"/>
      <c r="I202" s="350"/>
      <c r="J202" s="350"/>
    </row>
    <row r="203" ht="15.75" customHeight="1">
      <c r="A203" s="337"/>
      <c r="B203" s="338"/>
      <c r="C203" s="339"/>
      <c r="D203" s="340"/>
      <c r="E203" s="341"/>
      <c r="F203" s="342"/>
      <c r="G203" s="343"/>
      <c r="H203" s="343"/>
      <c r="I203" s="343"/>
      <c r="J203" s="343"/>
    </row>
    <row r="204" ht="15.75" customHeight="1">
      <c r="A204" s="344"/>
      <c r="B204" s="345"/>
      <c r="C204" s="346"/>
      <c r="D204" s="347"/>
      <c r="E204" s="348"/>
      <c r="F204" s="349"/>
      <c r="G204" s="350"/>
      <c r="H204" s="350"/>
      <c r="I204" s="350"/>
      <c r="J204" s="350"/>
    </row>
    <row r="205" ht="15.75" customHeight="1">
      <c r="A205" s="337"/>
      <c r="B205" s="338"/>
      <c r="C205" s="339"/>
      <c r="D205" s="340"/>
      <c r="E205" s="341"/>
      <c r="F205" s="342"/>
      <c r="G205" s="343"/>
      <c r="H205" s="343"/>
      <c r="I205" s="343"/>
      <c r="J205" s="343"/>
    </row>
    <row r="206" ht="15.75" customHeight="1">
      <c r="A206" s="344"/>
      <c r="B206" s="345"/>
      <c r="C206" s="346"/>
      <c r="D206" s="347"/>
      <c r="E206" s="348"/>
      <c r="F206" s="349"/>
      <c r="G206" s="350"/>
      <c r="H206" s="350"/>
      <c r="I206" s="350"/>
      <c r="J206" s="350"/>
    </row>
    <row r="207" ht="15.75" customHeight="1">
      <c r="A207" s="337"/>
      <c r="B207" s="338"/>
      <c r="C207" s="339"/>
      <c r="D207" s="340"/>
      <c r="E207" s="341"/>
      <c r="F207" s="342"/>
      <c r="G207" s="343"/>
      <c r="H207" s="343"/>
      <c r="I207" s="343"/>
      <c r="J207" s="343"/>
    </row>
    <row r="208" ht="15.75" customHeight="1">
      <c r="A208" s="344"/>
      <c r="B208" s="345"/>
      <c r="C208" s="346"/>
      <c r="D208" s="347"/>
      <c r="E208" s="348"/>
      <c r="F208" s="349"/>
      <c r="G208" s="350"/>
      <c r="H208" s="350"/>
      <c r="I208" s="350"/>
      <c r="J208" s="350"/>
    </row>
    <row r="209" ht="15.75" customHeight="1">
      <c r="A209" s="337"/>
      <c r="B209" s="338"/>
      <c r="C209" s="339"/>
      <c r="D209" s="340"/>
      <c r="E209" s="341"/>
      <c r="F209" s="342"/>
      <c r="G209" s="343"/>
      <c r="H209" s="343"/>
      <c r="I209" s="343"/>
      <c r="J209" s="343"/>
    </row>
    <row r="210" ht="15.75" customHeight="1">
      <c r="A210" s="344"/>
      <c r="B210" s="345"/>
      <c r="C210" s="346"/>
      <c r="D210" s="347"/>
      <c r="E210" s="348"/>
      <c r="F210" s="349"/>
      <c r="G210" s="350"/>
      <c r="H210" s="350"/>
      <c r="I210" s="350"/>
      <c r="J210" s="350"/>
    </row>
    <row r="211" ht="15.75" customHeight="1">
      <c r="A211" s="337"/>
      <c r="B211" s="338"/>
      <c r="C211" s="339"/>
      <c r="D211" s="340"/>
      <c r="E211" s="341"/>
      <c r="F211" s="342"/>
      <c r="G211" s="343"/>
      <c r="H211" s="343"/>
      <c r="I211" s="343"/>
      <c r="J211" s="343"/>
    </row>
    <row r="212" ht="15.75" customHeight="1">
      <c r="A212" s="344"/>
      <c r="B212" s="345"/>
      <c r="C212" s="346"/>
      <c r="D212" s="347"/>
      <c r="E212" s="348"/>
      <c r="F212" s="349"/>
      <c r="G212" s="350"/>
      <c r="H212" s="350"/>
      <c r="I212" s="350"/>
      <c r="J212" s="350"/>
    </row>
    <row r="213" ht="15.75" customHeight="1">
      <c r="A213" s="337"/>
      <c r="B213" s="338"/>
      <c r="C213" s="339"/>
      <c r="D213" s="340"/>
      <c r="E213" s="341"/>
      <c r="F213" s="342"/>
      <c r="G213" s="343"/>
      <c r="H213" s="343"/>
      <c r="I213" s="343"/>
      <c r="J213" s="343"/>
    </row>
    <row r="214" ht="15.75" customHeight="1">
      <c r="A214" s="344"/>
      <c r="B214" s="345"/>
      <c r="C214" s="346"/>
      <c r="D214" s="347"/>
      <c r="E214" s="348"/>
      <c r="F214" s="349"/>
      <c r="G214" s="350"/>
      <c r="H214" s="350"/>
      <c r="I214" s="350"/>
      <c r="J214" s="350"/>
    </row>
    <row r="215" ht="15.75" customHeight="1">
      <c r="A215" s="337"/>
      <c r="B215" s="338"/>
      <c r="C215" s="339"/>
      <c r="D215" s="340"/>
      <c r="E215" s="341"/>
      <c r="F215" s="342"/>
      <c r="G215" s="343"/>
      <c r="H215" s="343"/>
      <c r="I215" s="343"/>
      <c r="J215" s="343"/>
    </row>
    <row r="216" ht="15.75" customHeight="1">
      <c r="A216" s="344"/>
      <c r="B216" s="345"/>
      <c r="C216" s="346"/>
      <c r="D216" s="347"/>
      <c r="E216" s="348"/>
      <c r="F216" s="349"/>
      <c r="G216" s="350"/>
      <c r="H216" s="350"/>
      <c r="I216" s="350"/>
      <c r="J216" s="350"/>
    </row>
    <row r="217" ht="15.75" customHeight="1">
      <c r="A217" s="337"/>
      <c r="B217" s="338"/>
      <c r="C217" s="339"/>
      <c r="D217" s="340"/>
      <c r="E217" s="341"/>
      <c r="F217" s="342"/>
      <c r="G217" s="343"/>
      <c r="H217" s="343"/>
      <c r="I217" s="343"/>
      <c r="J217" s="343"/>
    </row>
    <row r="218" ht="15.75" customHeight="1">
      <c r="A218" s="344"/>
      <c r="B218" s="345"/>
      <c r="C218" s="346"/>
      <c r="D218" s="347"/>
      <c r="E218" s="348"/>
      <c r="F218" s="349"/>
      <c r="G218" s="350"/>
      <c r="H218" s="350"/>
      <c r="I218" s="350"/>
      <c r="J218" s="350"/>
    </row>
    <row r="219" ht="15.75" customHeight="1">
      <c r="A219" s="337"/>
      <c r="B219" s="338"/>
      <c r="C219" s="339"/>
      <c r="D219" s="340"/>
      <c r="E219" s="341"/>
      <c r="F219" s="342"/>
      <c r="G219" s="343"/>
      <c r="H219" s="343"/>
      <c r="I219" s="343"/>
      <c r="J219" s="343"/>
    </row>
    <row r="220" ht="15.75" customHeight="1">
      <c r="A220" s="344"/>
      <c r="B220" s="345"/>
      <c r="C220" s="346"/>
      <c r="D220" s="347"/>
      <c r="E220" s="348"/>
      <c r="F220" s="349"/>
      <c r="G220" s="350"/>
      <c r="H220" s="350"/>
      <c r="I220" s="350"/>
      <c r="J220" s="350"/>
    </row>
    <row r="221" ht="15.75" customHeight="1">
      <c r="A221" s="337"/>
      <c r="B221" s="338"/>
      <c r="C221" s="339"/>
      <c r="D221" s="340"/>
      <c r="E221" s="341"/>
      <c r="F221" s="342"/>
      <c r="G221" s="343"/>
      <c r="H221" s="343"/>
      <c r="I221" s="343"/>
      <c r="J221" s="343"/>
    </row>
    <row r="222" ht="15.75" customHeight="1">
      <c r="A222" s="344"/>
      <c r="B222" s="345"/>
      <c r="C222" s="346"/>
      <c r="D222" s="347"/>
      <c r="E222" s="348"/>
      <c r="F222" s="349"/>
      <c r="G222" s="350"/>
      <c r="H222" s="350"/>
      <c r="I222" s="350"/>
      <c r="J222" s="350"/>
    </row>
    <row r="223" ht="15.75" customHeight="1">
      <c r="A223" s="337"/>
      <c r="B223" s="338"/>
      <c r="C223" s="339"/>
      <c r="D223" s="340"/>
      <c r="E223" s="341"/>
      <c r="F223" s="342"/>
      <c r="G223" s="343"/>
      <c r="H223" s="343"/>
      <c r="I223" s="343"/>
      <c r="J223" s="343"/>
    </row>
    <row r="224" ht="15.75" customHeight="1">
      <c r="A224" s="344"/>
      <c r="B224" s="345"/>
      <c r="C224" s="346"/>
      <c r="D224" s="347"/>
      <c r="E224" s="348"/>
      <c r="F224" s="349"/>
      <c r="G224" s="350"/>
      <c r="H224" s="350"/>
      <c r="I224" s="350"/>
      <c r="J224" s="350"/>
    </row>
    <row r="225" ht="15.75" customHeight="1">
      <c r="A225" s="337"/>
      <c r="B225" s="338"/>
      <c r="C225" s="339"/>
      <c r="D225" s="340"/>
      <c r="E225" s="341"/>
      <c r="F225" s="342"/>
      <c r="G225" s="343"/>
      <c r="H225" s="343"/>
      <c r="I225" s="343"/>
      <c r="J225" s="343"/>
    </row>
    <row r="226" ht="15.75" customHeight="1">
      <c r="A226" s="344"/>
      <c r="B226" s="345"/>
      <c r="C226" s="346"/>
      <c r="D226" s="347"/>
      <c r="E226" s="348"/>
      <c r="F226" s="349"/>
      <c r="G226" s="350"/>
      <c r="H226" s="350"/>
      <c r="I226" s="350"/>
      <c r="J226" s="350"/>
    </row>
    <row r="227" ht="15.75" customHeight="1">
      <c r="A227" s="337"/>
      <c r="B227" s="338"/>
      <c r="C227" s="339"/>
      <c r="D227" s="340"/>
      <c r="E227" s="341"/>
      <c r="F227" s="342"/>
      <c r="G227" s="343"/>
      <c r="H227" s="343"/>
      <c r="I227" s="343"/>
      <c r="J227" s="343"/>
    </row>
    <row r="228" ht="15.75" customHeight="1">
      <c r="A228" s="344"/>
      <c r="B228" s="345"/>
      <c r="C228" s="346"/>
      <c r="D228" s="347"/>
      <c r="E228" s="348"/>
      <c r="F228" s="349"/>
      <c r="G228" s="350"/>
      <c r="H228" s="350"/>
      <c r="I228" s="350"/>
      <c r="J228" s="350"/>
    </row>
    <row r="229" ht="15.75" customHeight="1">
      <c r="A229" s="337"/>
      <c r="B229" s="338"/>
      <c r="C229" s="339"/>
      <c r="D229" s="340"/>
      <c r="E229" s="341"/>
      <c r="F229" s="342"/>
      <c r="G229" s="343"/>
      <c r="H229" s="343"/>
      <c r="I229" s="343"/>
      <c r="J229" s="343"/>
    </row>
    <row r="230" ht="15.75" customHeight="1">
      <c r="A230" s="344"/>
      <c r="B230" s="345"/>
      <c r="C230" s="346"/>
      <c r="D230" s="347"/>
      <c r="E230" s="348"/>
      <c r="F230" s="349"/>
      <c r="G230" s="350"/>
      <c r="H230" s="350"/>
      <c r="I230" s="350"/>
      <c r="J230" s="350"/>
    </row>
    <row r="231" ht="15.75" customHeight="1">
      <c r="A231" s="337"/>
      <c r="B231" s="338"/>
      <c r="C231" s="339"/>
      <c r="D231" s="340"/>
      <c r="E231" s="341"/>
      <c r="F231" s="342"/>
      <c r="G231" s="343"/>
      <c r="H231" s="343"/>
      <c r="I231" s="343"/>
      <c r="J231" s="343"/>
    </row>
    <row r="232" ht="15.75" customHeight="1">
      <c r="A232" s="344"/>
      <c r="B232" s="345"/>
      <c r="C232" s="346"/>
      <c r="D232" s="347"/>
      <c r="E232" s="348"/>
      <c r="F232" s="349"/>
      <c r="G232" s="350"/>
      <c r="H232" s="350"/>
      <c r="I232" s="350"/>
      <c r="J232" s="350"/>
    </row>
    <row r="233" ht="15.75" customHeight="1">
      <c r="A233" s="337"/>
      <c r="B233" s="338"/>
      <c r="C233" s="339"/>
      <c r="D233" s="340"/>
      <c r="E233" s="341"/>
      <c r="F233" s="342"/>
      <c r="G233" s="343"/>
      <c r="H233" s="343"/>
      <c r="I233" s="343"/>
      <c r="J233" s="343"/>
    </row>
    <row r="234" ht="15.75" customHeight="1">
      <c r="A234" s="344"/>
      <c r="B234" s="345"/>
      <c r="C234" s="346"/>
      <c r="D234" s="347"/>
      <c r="E234" s="348"/>
      <c r="F234" s="349"/>
      <c r="G234" s="350"/>
      <c r="H234" s="350"/>
      <c r="I234" s="350"/>
      <c r="J234" s="350"/>
    </row>
    <row r="235" ht="15.75" customHeight="1">
      <c r="A235" s="337"/>
      <c r="B235" s="338"/>
      <c r="C235" s="339"/>
      <c r="D235" s="340"/>
      <c r="E235" s="341"/>
      <c r="F235" s="342"/>
      <c r="G235" s="343"/>
      <c r="H235" s="343"/>
      <c r="I235" s="343"/>
      <c r="J235" s="343"/>
    </row>
    <row r="236" ht="15.75" customHeight="1">
      <c r="A236" s="344"/>
      <c r="B236" s="345"/>
      <c r="C236" s="346"/>
      <c r="D236" s="347"/>
      <c r="E236" s="348"/>
      <c r="F236" s="349"/>
      <c r="G236" s="350"/>
      <c r="H236" s="350"/>
      <c r="I236" s="350"/>
      <c r="J236" s="350"/>
    </row>
    <row r="237" ht="15.75" customHeight="1">
      <c r="A237" s="337"/>
      <c r="B237" s="338"/>
      <c r="C237" s="339"/>
      <c r="D237" s="340"/>
      <c r="E237" s="341"/>
      <c r="F237" s="342"/>
      <c r="G237" s="343"/>
      <c r="H237" s="343"/>
      <c r="I237" s="343"/>
      <c r="J237" s="343"/>
    </row>
    <row r="238" ht="15.75" customHeight="1">
      <c r="A238" s="344"/>
      <c r="B238" s="345"/>
      <c r="C238" s="346"/>
      <c r="D238" s="347"/>
      <c r="E238" s="348"/>
      <c r="F238" s="349"/>
      <c r="G238" s="350"/>
      <c r="H238" s="350"/>
      <c r="I238" s="350"/>
      <c r="J238" s="350"/>
    </row>
    <row r="239" ht="15.75" customHeight="1">
      <c r="A239" s="337"/>
      <c r="B239" s="338"/>
      <c r="C239" s="339"/>
      <c r="D239" s="340"/>
      <c r="E239" s="341"/>
      <c r="F239" s="342"/>
      <c r="G239" s="343"/>
      <c r="H239" s="343"/>
      <c r="I239" s="343"/>
      <c r="J239" s="343"/>
    </row>
    <row r="240" ht="15.75" customHeight="1">
      <c r="A240" s="344"/>
      <c r="B240" s="345"/>
      <c r="C240" s="346"/>
      <c r="D240" s="347"/>
      <c r="E240" s="348"/>
      <c r="F240" s="349"/>
      <c r="G240" s="350"/>
      <c r="H240" s="350"/>
      <c r="I240" s="350"/>
      <c r="J240" s="350"/>
    </row>
    <row r="241" ht="15.75" customHeight="1">
      <c r="A241" s="337"/>
      <c r="B241" s="338"/>
      <c r="C241" s="339"/>
      <c r="D241" s="340"/>
      <c r="E241" s="341"/>
      <c r="F241" s="342"/>
      <c r="G241" s="343"/>
      <c r="H241" s="343"/>
      <c r="I241" s="343"/>
      <c r="J241" s="343"/>
    </row>
    <row r="242" ht="15.75" customHeight="1">
      <c r="A242" s="344"/>
      <c r="B242" s="345"/>
      <c r="C242" s="346"/>
      <c r="D242" s="347"/>
      <c r="E242" s="348"/>
      <c r="F242" s="349"/>
      <c r="G242" s="350"/>
      <c r="H242" s="350"/>
      <c r="I242" s="350"/>
      <c r="J242" s="350"/>
    </row>
    <row r="243" ht="15.75" customHeight="1">
      <c r="A243" s="337"/>
      <c r="B243" s="338"/>
      <c r="C243" s="339"/>
      <c r="D243" s="340"/>
      <c r="E243" s="341"/>
      <c r="F243" s="342"/>
      <c r="G243" s="343"/>
      <c r="H243" s="343"/>
      <c r="I243" s="343"/>
      <c r="J243" s="343"/>
    </row>
    <row r="244" ht="15.75" customHeight="1">
      <c r="A244" s="344"/>
      <c r="B244" s="345"/>
      <c r="C244" s="346"/>
      <c r="D244" s="347"/>
      <c r="E244" s="348"/>
      <c r="F244" s="349"/>
      <c r="G244" s="350"/>
      <c r="H244" s="350"/>
      <c r="I244" s="350"/>
      <c r="J244" s="350"/>
    </row>
    <row r="245" ht="15.75" customHeight="1">
      <c r="A245" s="337"/>
      <c r="B245" s="338"/>
      <c r="C245" s="339"/>
      <c r="D245" s="340"/>
      <c r="E245" s="341"/>
      <c r="F245" s="342"/>
      <c r="G245" s="343"/>
      <c r="H245" s="343"/>
      <c r="I245" s="343"/>
      <c r="J245" s="343"/>
    </row>
    <row r="246" ht="15.75" customHeight="1">
      <c r="A246" s="344"/>
      <c r="B246" s="345"/>
      <c r="C246" s="346"/>
      <c r="D246" s="347"/>
      <c r="E246" s="348"/>
      <c r="F246" s="349"/>
      <c r="G246" s="350"/>
      <c r="H246" s="350"/>
      <c r="I246" s="350"/>
      <c r="J246" s="350"/>
    </row>
    <row r="247" ht="15.75" customHeight="1">
      <c r="A247" s="337"/>
      <c r="B247" s="338"/>
      <c r="C247" s="339"/>
      <c r="D247" s="340"/>
      <c r="E247" s="341"/>
      <c r="F247" s="342"/>
      <c r="G247" s="343"/>
      <c r="H247" s="343"/>
      <c r="I247" s="343"/>
      <c r="J247" s="343"/>
    </row>
    <row r="248" ht="15.75" customHeight="1">
      <c r="A248" s="344"/>
      <c r="B248" s="345"/>
      <c r="C248" s="346"/>
      <c r="D248" s="347"/>
      <c r="E248" s="348"/>
      <c r="F248" s="349"/>
      <c r="G248" s="350"/>
      <c r="H248" s="350"/>
      <c r="I248" s="350"/>
      <c r="J248" s="350"/>
    </row>
    <row r="249" ht="15.75" customHeight="1">
      <c r="A249" s="337"/>
      <c r="B249" s="338"/>
      <c r="C249" s="339"/>
      <c r="D249" s="340"/>
      <c r="E249" s="341"/>
      <c r="F249" s="342"/>
      <c r="G249" s="343"/>
      <c r="H249" s="343"/>
      <c r="I249" s="343"/>
      <c r="J249" s="343"/>
    </row>
    <row r="250" ht="15.75" customHeight="1">
      <c r="A250" s="344"/>
      <c r="B250" s="345"/>
      <c r="C250" s="346"/>
      <c r="D250" s="347"/>
      <c r="E250" s="348"/>
      <c r="F250" s="349"/>
      <c r="G250" s="350"/>
      <c r="H250" s="350"/>
      <c r="I250" s="350"/>
      <c r="J250" s="350"/>
    </row>
    <row r="251" ht="15.75" customHeight="1">
      <c r="A251" s="337"/>
      <c r="B251" s="338"/>
      <c r="C251" s="339"/>
      <c r="D251" s="340"/>
      <c r="E251" s="341"/>
      <c r="F251" s="342"/>
      <c r="G251" s="343"/>
      <c r="H251" s="343"/>
      <c r="I251" s="343"/>
      <c r="J251" s="343"/>
    </row>
    <row r="252" ht="15.75" customHeight="1">
      <c r="A252" s="344"/>
      <c r="B252" s="345"/>
      <c r="C252" s="346"/>
      <c r="D252" s="347"/>
      <c r="E252" s="348"/>
      <c r="F252" s="349"/>
      <c r="G252" s="350"/>
      <c r="H252" s="350"/>
      <c r="I252" s="350"/>
      <c r="J252" s="350"/>
    </row>
    <row r="253" ht="15.75" customHeight="1">
      <c r="A253" s="337"/>
      <c r="B253" s="338"/>
      <c r="C253" s="339"/>
      <c r="D253" s="340"/>
      <c r="E253" s="341"/>
      <c r="F253" s="342"/>
      <c r="G253" s="343"/>
      <c r="H253" s="343"/>
      <c r="I253" s="343"/>
      <c r="J253" s="343"/>
    </row>
    <row r="254" ht="15.75" customHeight="1">
      <c r="A254" s="344"/>
      <c r="B254" s="345"/>
      <c r="C254" s="346"/>
      <c r="D254" s="347"/>
      <c r="E254" s="348"/>
      <c r="F254" s="349"/>
      <c r="G254" s="350"/>
      <c r="H254" s="350"/>
      <c r="I254" s="350"/>
      <c r="J254" s="350"/>
    </row>
    <row r="255" ht="15.75" customHeight="1">
      <c r="A255" s="337"/>
      <c r="B255" s="338"/>
      <c r="C255" s="339"/>
      <c r="D255" s="340"/>
      <c r="E255" s="341"/>
      <c r="F255" s="342"/>
      <c r="G255" s="343"/>
      <c r="H255" s="343"/>
      <c r="I255" s="343"/>
      <c r="J255" s="343"/>
    </row>
    <row r="256" ht="15.75" customHeight="1">
      <c r="A256" s="344"/>
      <c r="B256" s="345"/>
      <c r="C256" s="346"/>
      <c r="D256" s="347"/>
      <c r="E256" s="348"/>
      <c r="F256" s="349"/>
      <c r="G256" s="350"/>
      <c r="H256" s="351"/>
      <c r="I256" s="351"/>
      <c r="J256" s="352"/>
    </row>
    <row r="257" ht="15.75" customHeight="1">
      <c r="A257" s="337"/>
      <c r="B257" s="338"/>
      <c r="C257" s="339"/>
      <c r="D257" s="340"/>
      <c r="E257" s="341"/>
      <c r="F257" s="342"/>
      <c r="G257" s="343"/>
      <c r="H257" s="343"/>
      <c r="I257" s="343"/>
      <c r="J257" s="343"/>
    </row>
    <row r="258" ht="15.75" customHeight="1">
      <c r="A258" s="344"/>
      <c r="B258" s="345"/>
      <c r="C258" s="346"/>
      <c r="D258" s="347"/>
      <c r="E258" s="348"/>
      <c r="F258" s="349"/>
      <c r="G258" s="350"/>
      <c r="H258" s="350"/>
      <c r="I258" s="350"/>
      <c r="J258" s="350"/>
    </row>
    <row r="259" ht="15.75" customHeight="1">
      <c r="A259" s="337"/>
      <c r="B259" s="338"/>
      <c r="C259" s="339"/>
      <c r="D259" s="340"/>
      <c r="E259" s="341"/>
      <c r="F259" s="342"/>
      <c r="G259" s="343"/>
      <c r="H259" s="343"/>
      <c r="I259" s="343"/>
      <c r="J259" s="343"/>
    </row>
    <row r="260" ht="15.75" customHeight="1">
      <c r="A260" s="344"/>
      <c r="B260" s="345"/>
      <c r="C260" s="346"/>
      <c r="D260" s="347"/>
      <c r="E260" s="348"/>
      <c r="F260" s="349"/>
      <c r="G260" s="350"/>
      <c r="H260" s="350"/>
      <c r="I260" s="350"/>
      <c r="J260" s="350"/>
    </row>
    <row r="261" ht="15.75" customHeight="1">
      <c r="A261" s="337"/>
      <c r="B261" s="338"/>
      <c r="C261" s="339"/>
      <c r="D261" s="340"/>
      <c r="E261" s="341"/>
      <c r="F261" s="342"/>
      <c r="G261" s="343"/>
      <c r="H261" s="343"/>
      <c r="I261" s="343"/>
      <c r="J261" s="343"/>
    </row>
    <row r="262" ht="15.75" customHeight="1">
      <c r="A262" s="344"/>
      <c r="B262" s="345"/>
      <c r="C262" s="346"/>
      <c r="D262" s="347"/>
      <c r="E262" s="348"/>
      <c r="F262" s="349"/>
      <c r="G262" s="350"/>
      <c r="H262" s="350"/>
      <c r="I262" s="350"/>
      <c r="J262" s="350"/>
    </row>
    <row r="263" ht="15.75" customHeight="1">
      <c r="A263" s="337"/>
      <c r="B263" s="338"/>
      <c r="C263" s="339"/>
      <c r="D263" s="340"/>
      <c r="E263" s="341"/>
      <c r="F263" s="342"/>
      <c r="G263" s="343"/>
      <c r="H263" s="343"/>
      <c r="I263" s="343"/>
      <c r="J263" s="343"/>
    </row>
    <row r="264" ht="15.75" customHeight="1">
      <c r="A264" s="344"/>
      <c r="B264" s="345"/>
      <c r="C264" s="346"/>
      <c r="D264" s="347"/>
      <c r="E264" s="348"/>
      <c r="F264" s="349"/>
      <c r="G264" s="350"/>
      <c r="H264" s="350"/>
      <c r="I264" s="350"/>
      <c r="J264" s="350"/>
    </row>
    <row r="265" ht="15.75" customHeight="1">
      <c r="A265" s="337"/>
      <c r="B265" s="338"/>
      <c r="C265" s="339"/>
      <c r="D265" s="340"/>
      <c r="E265" s="341"/>
      <c r="F265" s="342"/>
      <c r="G265" s="343"/>
      <c r="H265" s="343"/>
      <c r="I265" s="343"/>
      <c r="J265" s="343"/>
    </row>
    <row r="266" ht="15.75" customHeight="1">
      <c r="A266" s="344"/>
      <c r="B266" s="345"/>
      <c r="C266" s="346"/>
      <c r="D266" s="347"/>
      <c r="E266" s="348"/>
      <c r="F266" s="349"/>
      <c r="G266" s="350"/>
      <c r="H266" s="350"/>
      <c r="I266" s="350"/>
      <c r="J266" s="350"/>
    </row>
    <row r="267" ht="15.75" customHeight="1">
      <c r="A267" s="337"/>
      <c r="B267" s="338"/>
      <c r="C267" s="339"/>
      <c r="D267" s="340"/>
      <c r="E267" s="341"/>
      <c r="F267" s="342"/>
      <c r="G267" s="343"/>
      <c r="H267" s="343"/>
      <c r="I267" s="343"/>
      <c r="J267" s="343"/>
    </row>
    <row r="268" ht="15.75" customHeight="1">
      <c r="A268" s="344"/>
      <c r="B268" s="345"/>
      <c r="C268" s="346"/>
      <c r="D268" s="347"/>
      <c r="E268" s="348"/>
      <c r="F268" s="349"/>
      <c r="G268" s="350"/>
      <c r="H268" s="350"/>
      <c r="I268" s="350"/>
      <c r="J268" s="350"/>
    </row>
    <row r="269" ht="15.75" customHeight="1">
      <c r="A269" s="337"/>
      <c r="B269" s="338"/>
      <c r="C269" s="339"/>
      <c r="D269" s="340"/>
      <c r="E269" s="341"/>
      <c r="F269" s="342"/>
      <c r="G269" s="343"/>
      <c r="H269" s="343"/>
      <c r="I269" s="343"/>
      <c r="J269" s="343"/>
    </row>
    <row r="270" ht="15.75" customHeight="1">
      <c r="A270" s="344"/>
      <c r="B270" s="345"/>
      <c r="C270" s="346"/>
      <c r="D270" s="347"/>
      <c r="E270" s="348"/>
      <c r="F270" s="349"/>
      <c r="G270" s="350"/>
      <c r="H270" s="350"/>
      <c r="I270" s="350"/>
      <c r="J270" s="350"/>
    </row>
    <row r="271" ht="15.75" customHeight="1">
      <c r="A271" s="337"/>
      <c r="B271" s="338"/>
      <c r="C271" s="339"/>
      <c r="D271" s="340"/>
      <c r="E271" s="341"/>
      <c r="F271" s="342"/>
      <c r="G271" s="343"/>
      <c r="H271" s="343"/>
      <c r="I271" s="343"/>
      <c r="J271" s="343"/>
    </row>
    <row r="272" ht="15.75" customHeight="1">
      <c r="A272" s="344"/>
      <c r="B272" s="345"/>
      <c r="C272" s="346"/>
      <c r="D272" s="347"/>
      <c r="E272" s="348"/>
      <c r="F272" s="349"/>
      <c r="G272" s="350"/>
      <c r="H272" s="350"/>
      <c r="I272" s="350"/>
      <c r="J272" s="350"/>
    </row>
    <row r="273" ht="15.75" customHeight="1">
      <c r="A273" s="337"/>
      <c r="B273" s="338"/>
      <c r="C273" s="339"/>
      <c r="D273" s="340"/>
      <c r="E273" s="341"/>
      <c r="F273" s="342"/>
      <c r="G273" s="343"/>
      <c r="H273" s="343"/>
      <c r="I273" s="343"/>
      <c r="J273" s="343"/>
    </row>
    <row r="274" ht="15.75" customHeight="1">
      <c r="A274" s="344"/>
      <c r="B274" s="345"/>
      <c r="C274" s="346"/>
      <c r="D274" s="347"/>
      <c r="E274" s="348"/>
      <c r="F274" s="349"/>
      <c r="G274" s="350"/>
      <c r="H274" s="350"/>
      <c r="I274" s="350"/>
      <c r="J274" s="350"/>
    </row>
    <row r="275" ht="15.75" customHeight="1">
      <c r="A275" s="337"/>
      <c r="B275" s="338"/>
      <c r="C275" s="339"/>
      <c r="D275" s="340"/>
      <c r="E275" s="341"/>
      <c r="F275" s="342"/>
      <c r="G275" s="343"/>
      <c r="H275" s="343"/>
      <c r="I275" s="343"/>
      <c r="J275" s="343"/>
    </row>
    <row r="276" ht="15.75" customHeight="1">
      <c r="A276" s="344"/>
      <c r="B276" s="345"/>
      <c r="C276" s="346"/>
      <c r="D276" s="347"/>
      <c r="E276" s="348"/>
      <c r="F276" s="349"/>
      <c r="G276" s="350"/>
      <c r="H276" s="350"/>
      <c r="I276" s="350"/>
      <c r="J276" s="350"/>
    </row>
    <row r="277" ht="15.75" customHeight="1">
      <c r="A277" s="337"/>
      <c r="B277" s="338"/>
      <c r="C277" s="339"/>
      <c r="D277" s="340"/>
      <c r="E277" s="341"/>
      <c r="F277" s="342"/>
      <c r="G277" s="343"/>
      <c r="H277" s="343"/>
      <c r="I277" s="343"/>
      <c r="J277" s="343"/>
    </row>
    <row r="278" ht="15.75" customHeight="1">
      <c r="A278" s="344"/>
      <c r="B278" s="345"/>
      <c r="C278" s="346"/>
      <c r="D278" s="347"/>
      <c r="E278" s="348"/>
      <c r="F278" s="349"/>
      <c r="G278" s="350"/>
      <c r="H278" s="350"/>
      <c r="I278" s="350"/>
      <c r="J278" s="350"/>
    </row>
    <row r="279" ht="15.75" customHeight="1">
      <c r="A279" s="337"/>
      <c r="B279" s="338"/>
      <c r="C279" s="339"/>
      <c r="D279" s="340"/>
      <c r="E279" s="341"/>
      <c r="F279" s="342"/>
      <c r="G279" s="343"/>
      <c r="H279" s="343"/>
      <c r="I279" s="343"/>
      <c r="J279" s="343"/>
    </row>
    <row r="280" ht="15.75" customHeight="1">
      <c r="A280" s="344"/>
      <c r="B280" s="345"/>
      <c r="C280" s="346"/>
      <c r="D280" s="347"/>
      <c r="E280" s="348"/>
      <c r="F280" s="349"/>
      <c r="G280" s="350"/>
      <c r="H280" s="350"/>
      <c r="I280" s="350"/>
      <c r="J280" s="350"/>
    </row>
    <row r="281" ht="15.75" customHeight="1">
      <c r="A281" s="337"/>
      <c r="B281" s="338"/>
      <c r="C281" s="339"/>
      <c r="D281" s="340"/>
      <c r="E281" s="341"/>
      <c r="F281" s="342"/>
      <c r="G281" s="343"/>
      <c r="H281" s="343"/>
      <c r="I281" s="343"/>
      <c r="J281" s="343"/>
    </row>
    <row r="282" ht="15.75" customHeight="1">
      <c r="A282" s="344"/>
      <c r="B282" s="345"/>
      <c r="C282" s="346"/>
      <c r="D282" s="347"/>
      <c r="E282" s="348"/>
      <c r="F282" s="349"/>
      <c r="G282" s="350"/>
      <c r="H282" s="350"/>
      <c r="I282" s="350"/>
      <c r="J282" s="350"/>
    </row>
    <row r="283" ht="15.75" customHeight="1">
      <c r="A283" s="337"/>
      <c r="B283" s="338"/>
      <c r="C283" s="339"/>
      <c r="D283" s="340"/>
      <c r="E283" s="341"/>
      <c r="F283" s="342"/>
      <c r="G283" s="343"/>
      <c r="H283" s="343"/>
      <c r="I283" s="343"/>
      <c r="J283" s="343"/>
    </row>
    <row r="284" ht="6.0" customHeight="1">
      <c r="A284" s="334"/>
      <c r="B284" s="334"/>
      <c r="C284" s="335"/>
      <c r="D284" s="336"/>
      <c r="E284" s="334"/>
      <c r="F284" s="334"/>
      <c r="G284" s="334"/>
      <c r="H284" s="334"/>
      <c r="I284" s="334"/>
      <c r="J284" s="334"/>
    </row>
    <row r="285" ht="24.0" customHeight="1">
      <c r="A285" s="313" t="s">
        <v>516</v>
      </c>
      <c r="B285" s="55"/>
      <c r="C285" s="55"/>
      <c r="D285" s="55"/>
      <c r="E285" s="55"/>
      <c r="F285" s="56"/>
      <c r="G285" s="314"/>
      <c r="H285" s="315">
        <f>SUM(D286:D392)</f>
        <v>0</v>
      </c>
      <c r="I285" s="316"/>
      <c r="J285" s="317" t="str">
        <f>IF(I285&gt;0,H285/I285,"")</f>
        <v/>
      </c>
    </row>
    <row r="286" ht="15.75" customHeight="1">
      <c r="A286" s="353"/>
      <c r="B286" s="354"/>
      <c r="C286" s="355"/>
      <c r="D286" s="356"/>
      <c r="E286" s="357"/>
      <c r="F286" s="358"/>
      <c r="G286" s="359"/>
      <c r="H286" s="359"/>
      <c r="I286" s="359"/>
      <c r="J286" s="359"/>
    </row>
    <row r="287" ht="15.75" customHeight="1">
      <c r="A287" s="360"/>
      <c r="B287" s="361"/>
      <c r="C287" s="362"/>
      <c r="D287" s="363"/>
      <c r="E287" s="364"/>
      <c r="F287" s="365"/>
      <c r="G287" s="366"/>
      <c r="H287" s="366"/>
      <c r="I287" s="366"/>
      <c r="J287" s="366"/>
    </row>
    <row r="288" ht="15.75" customHeight="1">
      <c r="A288" s="353"/>
      <c r="B288" s="354"/>
      <c r="C288" s="355"/>
      <c r="D288" s="356"/>
      <c r="E288" s="357"/>
      <c r="F288" s="358"/>
      <c r="G288" s="359"/>
      <c r="H288" s="359"/>
      <c r="I288" s="359"/>
      <c r="J288" s="359"/>
    </row>
    <row r="289" ht="15.75" customHeight="1">
      <c r="A289" s="360"/>
      <c r="B289" s="361"/>
      <c r="C289" s="362"/>
      <c r="D289" s="363"/>
      <c r="E289" s="364"/>
      <c r="F289" s="365"/>
      <c r="G289" s="366"/>
      <c r="H289" s="366"/>
      <c r="I289" s="366"/>
      <c r="J289" s="366"/>
    </row>
    <row r="290" ht="15.75" customHeight="1">
      <c r="A290" s="353"/>
      <c r="B290" s="354"/>
      <c r="C290" s="355"/>
      <c r="D290" s="356"/>
      <c r="E290" s="357"/>
      <c r="F290" s="358"/>
      <c r="G290" s="359"/>
      <c r="H290" s="359"/>
      <c r="I290" s="359"/>
      <c r="J290" s="359"/>
    </row>
    <row r="291" ht="15.75" customHeight="1">
      <c r="A291" s="360"/>
      <c r="B291" s="361"/>
      <c r="C291" s="362"/>
      <c r="D291" s="363"/>
      <c r="E291" s="364"/>
      <c r="F291" s="365"/>
      <c r="G291" s="366"/>
      <c r="H291" s="366"/>
      <c r="I291" s="366"/>
      <c r="J291" s="366"/>
    </row>
    <row r="292" ht="15.75" customHeight="1">
      <c r="A292" s="353"/>
      <c r="B292" s="354"/>
      <c r="C292" s="355"/>
      <c r="D292" s="356"/>
      <c r="E292" s="357"/>
      <c r="F292" s="358"/>
      <c r="G292" s="359"/>
      <c r="H292" s="359"/>
      <c r="I292" s="359"/>
      <c r="J292" s="359"/>
    </row>
    <row r="293" ht="15.75" customHeight="1">
      <c r="A293" s="360"/>
      <c r="B293" s="361"/>
      <c r="C293" s="362"/>
      <c r="D293" s="363"/>
      <c r="E293" s="364"/>
      <c r="F293" s="365"/>
      <c r="G293" s="366"/>
      <c r="H293" s="366"/>
      <c r="I293" s="366"/>
      <c r="J293" s="366"/>
    </row>
    <row r="294" ht="15.75" customHeight="1">
      <c r="A294" s="353"/>
      <c r="B294" s="354"/>
      <c r="C294" s="355"/>
      <c r="D294" s="356"/>
      <c r="E294" s="357"/>
      <c r="F294" s="358"/>
      <c r="G294" s="359"/>
      <c r="H294" s="359"/>
      <c r="I294" s="359"/>
      <c r="J294" s="359"/>
    </row>
    <row r="295" ht="15.75" customHeight="1">
      <c r="A295" s="360"/>
      <c r="B295" s="361"/>
      <c r="C295" s="362"/>
      <c r="D295" s="363"/>
      <c r="E295" s="364"/>
      <c r="F295" s="365"/>
      <c r="G295" s="366"/>
      <c r="H295" s="366"/>
      <c r="I295" s="366"/>
      <c r="J295" s="366"/>
    </row>
    <row r="296" ht="15.75" customHeight="1">
      <c r="A296" s="353"/>
      <c r="B296" s="354"/>
      <c r="C296" s="355"/>
      <c r="D296" s="356"/>
      <c r="E296" s="357"/>
      <c r="F296" s="358"/>
      <c r="G296" s="359"/>
      <c r="H296" s="359"/>
      <c r="I296" s="359"/>
      <c r="J296" s="359"/>
    </row>
    <row r="297" ht="15.75" customHeight="1">
      <c r="A297" s="360"/>
      <c r="B297" s="361"/>
      <c r="C297" s="362"/>
      <c r="D297" s="363"/>
      <c r="E297" s="364"/>
      <c r="F297" s="365"/>
      <c r="G297" s="366"/>
      <c r="H297" s="366"/>
      <c r="I297" s="366"/>
      <c r="J297" s="366"/>
    </row>
    <row r="298" ht="15.75" customHeight="1">
      <c r="A298" s="353"/>
      <c r="B298" s="354"/>
      <c r="C298" s="355"/>
      <c r="D298" s="356"/>
      <c r="E298" s="357"/>
      <c r="F298" s="358"/>
      <c r="G298" s="359"/>
      <c r="H298" s="359"/>
      <c r="I298" s="359"/>
      <c r="J298" s="359"/>
    </row>
    <row r="299" ht="15.75" customHeight="1">
      <c r="A299" s="360"/>
      <c r="B299" s="361"/>
      <c r="C299" s="362"/>
      <c r="D299" s="363"/>
      <c r="E299" s="364"/>
      <c r="F299" s="365"/>
      <c r="G299" s="366"/>
      <c r="H299" s="366"/>
      <c r="I299" s="366"/>
      <c r="J299" s="366"/>
    </row>
    <row r="300" ht="15.75" customHeight="1">
      <c r="A300" s="353"/>
      <c r="B300" s="354"/>
      <c r="C300" s="355"/>
      <c r="D300" s="356"/>
      <c r="E300" s="357"/>
      <c r="F300" s="358"/>
      <c r="G300" s="359"/>
      <c r="H300" s="359"/>
      <c r="I300" s="359"/>
      <c r="J300" s="359"/>
    </row>
    <row r="301" ht="15.75" customHeight="1">
      <c r="A301" s="360"/>
      <c r="B301" s="361"/>
      <c r="C301" s="362"/>
      <c r="D301" s="363"/>
      <c r="E301" s="364"/>
      <c r="F301" s="365"/>
      <c r="G301" s="366"/>
      <c r="H301" s="366"/>
      <c r="I301" s="366"/>
      <c r="J301" s="366"/>
    </row>
    <row r="302" ht="15.75" customHeight="1">
      <c r="A302" s="353"/>
      <c r="B302" s="354"/>
      <c r="C302" s="355"/>
      <c r="D302" s="356"/>
      <c r="E302" s="357"/>
      <c r="F302" s="358"/>
      <c r="G302" s="359"/>
      <c r="H302" s="359"/>
      <c r="I302" s="359"/>
      <c r="J302" s="359"/>
    </row>
    <row r="303" ht="15.75" customHeight="1">
      <c r="A303" s="360"/>
      <c r="B303" s="361"/>
      <c r="C303" s="362"/>
      <c r="D303" s="363"/>
      <c r="E303" s="364"/>
      <c r="F303" s="365"/>
      <c r="G303" s="366"/>
      <c r="H303" s="366"/>
      <c r="I303" s="366"/>
      <c r="J303" s="366"/>
    </row>
    <row r="304" ht="15.75" customHeight="1">
      <c r="A304" s="353"/>
      <c r="B304" s="354"/>
      <c r="C304" s="355"/>
      <c r="D304" s="356"/>
      <c r="E304" s="357"/>
      <c r="F304" s="358"/>
      <c r="G304" s="359"/>
      <c r="H304" s="359"/>
      <c r="I304" s="359"/>
      <c r="J304" s="359"/>
    </row>
    <row r="305" ht="15.75" customHeight="1">
      <c r="A305" s="360"/>
      <c r="B305" s="361"/>
      <c r="C305" s="362"/>
      <c r="D305" s="363"/>
      <c r="E305" s="364"/>
      <c r="F305" s="365"/>
      <c r="G305" s="366"/>
      <c r="H305" s="366"/>
      <c r="I305" s="366"/>
      <c r="J305" s="366"/>
    </row>
    <row r="306" ht="15.75" customHeight="1">
      <c r="A306" s="353"/>
      <c r="B306" s="354"/>
      <c r="C306" s="355"/>
      <c r="D306" s="356"/>
      <c r="E306" s="357"/>
      <c r="F306" s="358"/>
      <c r="G306" s="359"/>
      <c r="H306" s="359"/>
      <c r="I306" s="359"/>
      <c r="J306" s="359"/>
    </row>
    <row r="307" ht="15.75" customHeight="1">
      <c r="A307" s="360"/>
      <c r="B307" s="361"/>
      <c r="C307" s="362"/>
      <c r="D307" s="363"/>
      <c r="E307" s="364"/>
      <c r="F307" s="365"/>
      <c r="G307" s="366"/>
      <c r="H307" s="366"/>
      <c r="I307" s="366"/>
      <c r="J307" s="366"/>
    </row>
    <row r="308" ht="15.75" customHeight="1">
      <c r="A308" s="353"/>
      <c r="B308" s="354"/>
      <c r="C308" s="355"/>
      <c r="D308" s="356"/>
      <c r="E308" s="357"/>
      <c r="F308" s="358"/>
      <c r="G308" s="359"/>
      <c r="H308" s="359"/>
      <c r="I308" s="359"/>
      <c r="J308" s="359"/>
    </row>
    <row r="309" ht="15.75" customHeight="1">
      <c r="A309" s="360"/>
      <c r="B309" s="361"/>
      <c r="C309" s="362"/>
      <c r="D309" s="363"/>
      <c r="E309" s="364"/>
      <c r="F309" s="365"/>
      <c r="G309" s="366"/>
      <c r="H309" s="366"/>
      <c r="I309" s="366"/>
      <c r="J309" s="366"/>
    </row>
    <row r="310" ht="15.75" customHeight="1">
      <c r="A310" s="353"/>
      <c r="B310" s="354"/>
      <c r="C310" s="355"/>
      <c r="D310" s="356"/>
      <c r="E310" s="357"/>
      <c r="F310" s="358"/>
      <c r="G310" s="359"/>
      <c r="H310" s="359"/>
      <c r="I310" s="359"/>
      <c r="J310" s="359"/>
    </row>
    <row r="311" ht="15.75" customHeight="1">
      <c r="A311" s="360"/>
      <c r="B311" s="361"/>
      <c r="C311" s="362"/>
      <c r="D311" s="363"/>
      <c r="E311" s="364"/>
      <c r="F311" s="365"/>
      <c r="G311" s="366"/>
      <c r="H311" s="366"/>
      <c r="I311" s="366"/>
      <c r="J311" s="366"/>
    </row>
    <row r="312" ht="15.75" customHeight="1">
      <c r="A312" s="353"/>
      <c r="B312" s="354"/>
      <c r="C312" s="355"/>
      <c r="D312" s="356"/>
      <c r="E312" s="357"/>
      <c r="F312" s="358"/>
      <c r="G312" s="359"/>
      <c r="H312" s="359"/>
      <c r="I312" s="359"/>
      <c r="J312" s="359"/>
    </row>
    <row r="313" ht="15.75" customHeight="1">
      <c r="A313" s="360"/>
      <c r="B313" s="361"/>
      <c r="C313" s="362"/>
      <c r="D313" s="363"/>
      <c r="E313" s="364"/>
      <c r="F313" s="365"/>
      <c r="G313" s="366"/>
      <c r="H313" s="366"/>
      <c r="I313" s="366"/>
      <c r="J313" s="366"/>
    </row>
    <row r="314" ht="15.75" customHeight="1">
      <c r="A314" s="353"/>
      <c r="B314" s="354"/>
      <c r="C314" s="355"/>
      <c r="D314" s="356"/>
      <c r="E314" s="357"/>
      <c r="F314" s="358"/>
      <c r="G314" s="359"/>
      <c r="H314" s="359"/>
      <c r="I314" s="359"/>
      <c r="J314" s="359"/>
    </row>
    <row r="315" ht="15.75" customHeight="1">
      <c r="A315" s="360"/>
      <c r="B315" s="361"/>
      <c r="C315" s="362"/>
      <c r="D315" s="363"/>
      <c r="E315" s="364"/>
      <c r="F315" s="365"/>
      <c r="G315" s="366"/>
      <c r="H315" s="366"/>
      <c r="I315" s="366"/>
      <c r="J315" s="366"/>
    </row>
    <row r="316" ht="15.75" customHeight="1">
      <c r="A316" s="353"/>
      <c r="B316" s="354"/>
      <c r="C316" s="355"/>
      <c r="D316" s="356"/>
      <c r="E316" s="357"/>
      <c r="F316" s="358"/>
      <c r="G316" s="359"/>
      <c r="H316" s="359"/>
      <c r="I316" s="359"/>
      <c r="J316" s="359"/>
    </row>
    <row r="317" ht="15.75" customHeight="1">
      <c r="A317" s="360"/>
      <c r="B317" s="361"/>
      <c r="C317" s="362"/>
      <c r="D317" s="363"/>
      <c r="E317" s="364"/>
      <c r="F317" s="365"/>
      <c r="G317" s="366"/>
      <c r="H317" s="366"/>
      <c r="I317" s="366"/>
      <c r="J317" s="366"/>
    </row>
    <row r="318" ht="15.75" customHeight="1">
      <c r="A318" s="353"/>
      <c r="B318" s="354"/>
      <c r="C318" s="355"/>
      <c r="D318" s="356"/>
      <c r="E318" s="357"/>
      <c r="F318" s="358"/>
      <c r="G318" s="359"/>
      <c r="H318" s="359"/>
      <c r="I318" s="359"/>
      <c r="J318" s="359"/>
    </row>
    <row r="319" ht="15.75" customHeight="1">
      <c r="A319" s="360"/>
      <c r="B319" s="361"/>
      <c r="C319" s="362"/>
      <c r="D319" s="363"/>
      <c r="E319" s="364"/>
      <c r="F319" s="365"/>
      <c r="G319" s="366"/>
      <c r="H319" s="366"/>
      <c r="I319" s="366"/>
      <c r="J319" s="366"/>
    </row>
    <row r="320" ht="15.75" customHeight="1">
      <c r="A320" s="353"/>
      <c r="B320" s="354"/>
      <c r="C320" s="355"/>
      <c r="D320" s="356"/>
      <c r="E320" s="357"/>
      <c r="F320" s="358"/>
      <c r="G320" s="359"/>
      <c r="H320" s="359"/>
      <c r="I320" s="359"/>
      <c r="J320" s="359"/>
    </row>
    <row r="321" ht="15.75" customHeight="1">
      <c r="A321" s="360"/>
      <c r="B321" s="361"/>
      <c r="C321" s="362"/>
      <c r="D321" s="363"/>
      <c r="E321" s="364"/>
      <c r="F321" s="365"/>
      <c r="G321" s="366"/>
      <c r="H321" s="366"/>
      <c r="I321" s="366"/>
      <c r="J321" s="366"/>
    </row>
    <row r="322" ht="15.75" customHeight="1">
      <c r="A322" s="353"/>
      <c r="B322" s="354"/>
      <c r="C322" s="355"/>
      <c r="D322" s="356"/>
      <c r="E322" s="357"/>
      <c r="F322" s="358"/>
      <c r="G322" s="359"/>
      <c r="H322" s="359"/>
      <c r="I322" s="359"/>
      <c r="J322" s="359"/>
    </row>
    <row r="323" ht="15.75" customHeight="1">
      <c r="A323" s="360"/>
      <c r="B323" s="361"/>
      <c r="C323" s="362"/>
      <c r="D323" s="363"/>
      <c r="E323" s="364"/>
      <c r="F323" s="365"/>
      <c r="G323" s="366"/>
      <c r="H323" s="366"/>
      <c r="I323" s="366"/>
      <c r="J323" s="366"/>
    </row>
    <row r="324" ht="15.75" customHeight="1">
      <c r="A324" s="353"/>
      <c r="B324" s="354"/>
      <c r="C324" s="355"/>
      <c r="D324" s="356"/>
      <c r="E324" s="357"/>
      <c r="F324" s="358"/>
      <c r="G324" s="359"/>
      <c r="H324" s="359"/>
      <c r="I324" s="359"/>
      <c r="J324" s="359"/>
    </row>
    <row r="325" ht="15.75" customHeight="1">
      <c r="A325" s="360"/>
      <c r="B325" s="361"/>
      <c r="C325" s="362"/>
      <c r="D325" s="363"/>
      <c r="E325" s="364"/>
      <c r="F325" s="365"/>
      <c r="G325" s="366"/>
      <c r="H325" s="366"/>
      <c r="I325" s="366"/>
      <c r="J325" s="366"/>
    </row>
    <row r="326" ht="15.75" customHeight="1">
      <c r="A326" s="353"/>
      <c r="B326" s="354"/>
      <c r="C326" s="355"/>
      <c r="D326" s="356"/>
      <c r="E326" s="357"/>
      <c r="F326" s="358"/>
      <c r="G326" s="359"/>
      <c r="H326" s="359"/>
      <c r="I326" s="359"/>
      <c r="J326" s="359"/>
    </row>
    <row r="327" ht="15.75" customHeight="1">
      <c r="A327" s="360"/>
      <c r="B327" s="361"/>
      <c r="C327" s="362"/>
      <c r="D327" s="363"/>
      <c r="E327" s="364"/>
      <c r="F327" s="365"/>
      <c r="G327" s="366"/>
      <c r="H327" s="366"/>
      <c r="I327" s="366"/>
      <c r="J327" s="366"/>
    </row>
    <row r="328" ht="15.75" customHeight="1">
      <c r="A328" s="353"/>
      <c r="B328" s="354"/>
      <c r="C328" s="355"/>
      <c r="D328" s="356"/>
      <c r="E328" s="357"/>
      <c r="F328" s="358"/>
      <c r="G328" s="359"/>
      <c r="H328" s="359"/>
      <c r="I328" s="359"/>
      <c r="J328" s="359"/>
    </row>
    <row r="329" ht="15.75" customHeight="1">
      <c r="A329" s="360"/>
      <c r="B329" s="361"/>
      <c r="C329" s="362"/>
      <c r="D329" s="363"/>
      <c r="E329" s="364"/>
      <c r="F329" s="365"/>
      <c r="G329" s="366"/>
      <c r="H329" s="366"/>
      <c r="I329" s="366"/>
      <c r="J329" s="366"/>
    </row>
    <row r="330" ht="15.75" customHeight="1">
      <c r="A330" s="353"/>
      <c r="B330" s="354"/>
      <c r="C330" s="355"/>
      <c r="D330" s="356"/>
      <c r="E330" s="357"/>
      <c r="F330" s="358"/>
      <c r="G330" s="359"/>
      <c r="H330" s="359"/>
      <c r="I330" s="359"/>
      <c r="J330" s="359"/>
    </row>
    <row r="331" ht="15.75" customHeight="1">
      <c r="A331" s="360"/>
      <c r="B331" s="361"/>
      <c r="C331" s="362"/>
      <c r="D331" s="363"/>
      <c r="E331" s="364"/>
      <c r="F331" s="365"/>
      <c r="G331" s="366"/>
      <c r="H331" s="366"/>
      <c r="I331" s="366"/>
      <c r="J331" s="366"/>
    </row>
    <row r="332" ht="15.75" customHeight="1">
      <c r="A332" s="353"/>
      <c r="B332" s="354"/>
      <c r="C332" s="355"/>
      <c r="D332" s="356"/>
      <c r="E332" s="357"/>
      <c r="F332" s="358"/>
      <c r="G332" s="359"/>
      <c r="H332" s="359"/>
      <c r="I332" s="359"/>
      <c r="J332" s="359"/>
    </row>
    <row r="333" ht="15.75" customHeight="1">
      <c r="A333" s="360"/>
      <c r="B333" s="361"/>
      <c r="C333" s="362"/>
      <c r="D333" s="363"/>
      <c r="E333" s="364"/>
      <c r="F333" s="365"/>
      <c r="G333" s="366"/>
      <c r="H333" s="366"/>
      <c r="I333" s="366"/>
      <c r="J333" s="366"/>
    </row>
    <row r="334" ht="15.75" customHeight="1">
      <c r="A334" s="353"/>
      <c r="B334" s="354"/>
      <c r="C334" s="355"/>
      <c r="D334" s="356"/>
      <c r="E334" s="357"/>
      <c r="F334" s="358"/>
      <c r="G334" s="359"/>
      <c r="H334" s="359"/>
      <c r="I334" s="359"/>
      <c r="J334" s="359"/>
    </row>
    <row r="335" ht="15.75" customHeight="1">
      <c r="A335" s="360"/>
      <c r="B335" s="361"/>
      <c r="C335" s="362"/>
      <c r="D335" s="363"/>
      <c r="E335" s="364"/>
      <c r="F335" s="365"/>
      <c r="G335" s="366"/>
      <c r="H335" s="366"/>
      <c r="I335" s="366"/>
      <c r="J335" s="366"/>
    </row>
    <row r="336" ht="15.75" customHeight="1">
      <c r="A336" s="353"/>
      <c r="B336" s="354"/>
      <c r="C336" s="355"/>
      <c r="D336" s="356"/>
      <c r="E336" s="357"/>
      <c r="F336" s="358"/>
      <c r="G336" s="359"/>
      <c r="H336" s="359"/>
      <c r="I336" s="359"/>
      <c r="J336" s="359"/>
    </row>
    <row r="337" ht="15.75" customHeight="1">
      <c r="A337" s="360"/>
      <c r="B337" s="361"/>
      <c r="C337" s="362"/>
      <c r="D337" s="363"/>
      <c r="E337" s="364"/>
      <c r="F337" s="365"/>
      <c r="G337" s="366"/>
      <c r="H337" s="366"/>
      <c r="I337" s="366"/>
      <c r="J337" s="366"/>
    </row>
    <row r="338" ht="15.75" customHeight="1">
      <c r="A338" s="353"/>
      <c r="B338" s="354"/>
      <c r="C338" s="355"/>
      <c r="D338" s="356"/>
      <c r="E338" s="357"/>
      <c r="F338" s="358"/>
      <c r="G338" s="359"/>
      <c r="H338" s="359"/>
      <c r="I338" s="359"/>
      <c r="J338" s="359"/>
    </row>
    <row r="339" ht="15.75" customHeight="1">
      <c r="A339" s="360"/>
      <c r="B339" s="361"/>
      <c r="C339" s="362"/>
      <c r="D339" s="363"/>
      <c r="E339" s="364"/>
      <c r="F339" s="365"/>
      <c r="G339" s="366"/>
      <c r="H339" s="366"/>
      <c r="I339" s="366"/>
      <c r="J339" s="366"/>
    </row>
    <row r="340" ht="15.75" customHeight="1">
      <c r="A340" s="353"/>
      <c r="B340" s="354"/>
      <c r="C340" s="355"/>
      <c r="D340" s="356"/>
      <c r="E340" s="357"/>
      <c r="F340" s="358"/>
      <c r="G340" s="359"/>
      <c r="H340" s="359"/>
      <c r="I340" s="359"/>
      <c r="J340" s="359"/>
    </row>
    <row r="341" ht="15.75" customHeight="1">
      <c r="A341" s="360"/>
      <c r="B341" s="361"/>
      <c r="C341" s="362"/>
      <c r="D341" s="363"/>
      <c r="E341" s="364"/>
      <c r="F341" s="365"/>
      <c r="G341" s="366"/>
      <c r="H341" s="366"/>
      <c r="I341" s="366"/>
      <c r="J341" s="366"/>
    </row>
    <row r="342" ht="15.75" customHeight="1">
      <c r="A342" s="353"/>
      <c r="B342" s="354"/>
      <c r="C342" s="355"/>
      <c r="D342" s="356"/>
      <c r="E342" s="357"/>
      <c r="F342" s="358"/>
      <c r="G342" s="359"/>
      <c r="H342" s="359"/>
      <c r="I342" s="359"/>
      <c r="J342" s="359"/>
    </row>
    <row r="343" ht="15.75" customHeight="1">
      <c r="A343" s="360"/>
      <c r="B343" s="361"/>
      <c r="C343" s="362"/>
      <c r="D343" s="363"/>
      <c r="E343" s="364"/>
      <c r="F343" s="365"/>
      <c r="G343" s="366"/>
      <c r="H343" s="366"/>
      <c r="I343" s="366"/>
      <c r="J343" s="366"/>
    </row>
    <row r="344" ht="15.75" customHeight="1">
      <c r="A344" s="353"/>
      <c r="B344" s="354"/>
      <c r="C344" s="355"/>
      <c r="D344" s="356"/>
      <c r="E344" s="357"/>
      <c r="F344" s="358"/>
      <c r="G344" s="359"/>
      <c r="H344" s="359"/>
      <c r="I344" s="359"/>
      <c r="J344" s="359"/>
    </row>
    <row r="345" ht="15.75" customHeight="1">
      <c r="A345" s="360"/>
      <c r="B345" s="361"/>
      <c r="C345" s="362"/>
      <c r="D345" s="363"/>
      <c r="E345" s="364"/>
      <c r="F345" s="365"/>
      <c r="G345" s="366"/>
      <c r="H345" s="366"/>
      <c r="I345" s="366"/>
      <c r="J345" s="366"/>
    </row>
    <row r="346" ht="15.75" customHeight="1">
      <c r="A346" s="353"/>
      <c r="B346" s="354"/>
      <c r="C346" s="355"/>
      <c r="D346" s="356"/>
      <c r="E346" s="357"/>
      <c r="F346" s="358"/>
      <c r="G346" s="359"/>
      <c r="H346" s="359"/>
      <c r="I346" s="359"/>
      <c r="J346" s="359"/>
    </row>
    <row r="347" ht="15.75" customHeight="1">
      <c r="A347" s="360"/>
      <c r="B347" s="361"/>
      <c r="C347" s="362"/>
      <c r="D347" s="363"/>
      <c r="E347" s="364"/>
      <c r="F347" s="365"/>
      <c r="G347" s="366"/>
      <c r="H347" s="366"/>
      <c r="I347" s="366"/>
      <c r="J347" s="366"/>
    </row>
    <row r="348" ht="15.75" customHeight="1">
      <c r="A348" s="353"/>
      <c r="B348" s="354"/>
      <c r="C348" s="355"/>
      <c r="D348" s="356"/>
      <c r="E348" s="357"/>
      <c r="F348" s="358"/>
      <c r="G348" s="359"/>
      <c r="H348" s="359"/>
      <c r="I348" s="359"/>
      <c r="J348" s="359"/>
    </row>
    <row r="349" ht="15.75" customHeight="1">
      <c r="A349" s="360"/>
      <c r="B349" s="361"/>
      <c r="C349" s="362"/>
      <c r="D349" s="363"/>
      <c r="E349" s="364"/>
      <c r="F349" s="365"/>
      <c r="G349" s="366"/>
      <c r="H349" s="366"/>
      <c r="I349" s="366"/>
      <c r="J349" s="366"/>
    </row>
    <row r="350" ht="15.75" customHeight="1">
      <c r="A350" s="353"/>
      <c r="B350" s="354"/>
      <c r="C350" s="355"/>
      <c r="D350" s="356"/>
      <c r="E350" s="357"/>
      <c r="F350" s="358"/>
      <c r="G350" s="359"/>
      <c r="H350" s="359"/>
      <c r="I350" s="359"/>
      <c r="J350" s="359"/>
    </row>
    <row r="351" ht="15.75" customHeight="1">
      <c r="A351" s="360"/>
      <c r="B351" s="361"/>
      <c r="C351" s="362"/>
      <c r="D351" s="363"/>
      <c r="E351" s="364"/>
      <c r="F351" s="365"/>
      <c r="G351" s="366"/>
      <c r="H351" s="366"/>
      <c r="I351" s="366"/>
      <c r="J351" s="366"/>
    </row>
    <row r="352" ht="15.75" customHeight="1">
      <c r="A352" s="353"/>
      <c r="B352" s="354"/>
      <c r="C352" s="355"/>
      <c r="D352" s="356"/>
      <c r="E352" s="357"/>
      <c r="F352" s="358"/>
      <c r="G352" s="359"/>
      <c r="H352" s="359"/>
      <c r="I352" s="359"/>
      <c r="J352" s="359"/>
    </row>
    <row r="353" ht="15.75" customHeight="1">
      <c r="A353" s="360"/>
      <c r="B353" s="361"/>
      <c r="C353" s="362"/>
      <c r="D353" s="363"/>
      <c r="E353" s="364"/>
      <c r="F353" s="365"/>
      <c r="G353" s="366"/>
      <c r="H353" s="366"/>
      <c r="I353" s="366"/>
      <c r="J353" s="366"/>
    </row>
    <row r="354" ht="15.75" customHeight="1">
      <c r="A354" s="353"/>
      <c r="B354" s="354"/>
      <c r="C354" s="355"/>
      <c r="D354" s="356"/>
      <c r="E354" s="357"/>
      <c r="F354" s="358"/>
      <c r="G354" s="359"/>
      <c r="H354" s="359"/>
      <c r="I354" s="359"/>
      <c r="J354" s="359"/>
    </row>
    <row r="355" ht="15.75" customHeight="1">
      <c r="A355" s="360"/>
      <c r="B355" s="361"/>
      <c r="C355" s="362"/>
      <c r="D355" s="363"/>
      <c r="E355" s="364"/>
      <c r="F355" s="365"/>
      <c r="G355" s="366"/>
      <c r="H355" s="366"/>
      <c r="I355" s="366"/>
      <c r="J355" s="366"/>
    </row>
    <row r="356" ht="15.75" customHeight="1">
      <c r="A356" s="353"/>
      <c r="B356" s="354"/>
      <c r="C356" s="355"/>
      <c r="D356" s="356"/>
      <c r="E356" s="357"/>
      <c r="F356" s="358"/>
      <c r="G356" s="359"/>
      <c r="H356" s="359"/>
      <c r="I356" s="359"/>
      <c r="J356" s="359"/>
    </row>
    <row r="357" ht="15.75" customHeight="1">
      <c r="A357" s="360"/>
      <c r="B357" s="361"/>
      <c r="C357" s="362"/>
      <c r="D357" s="363"/>
      <c r="E357" s="364"/>
      <c r="F357" s="365"/>
      <c r="G357" s="366"/>
      <c r="H357" s="366"/>
      <c r="I357" s="366"/>
      <c r="J357" s="366"/>
    </row>
    <row r="358" ht="15.75" customHeight="1">
      <c r="A358" s="353"/>
      <c r="B358" s="354"/>
      <c r="C358" s="355"/>
      <c r="D358" s="356"/>
      <c r="E358" s="357"/>
      <c r="F358" s="358"/>
      <c r="G358" s="359"/>
      <c r="H358" s="359"/>
      <c r="I358" s="359"/>
      <c r="J358" s="359"/>
    </row>
    <row r="359" ht="15.75" customHeight="1">
      <c r="A359" s="360"/>
      <c r="B359" s="361"/>
      <c r="C359" s="362"/>
      <c r="D359" s="363"/>
      <c r="E359" s="364"/>
      <c r="F359" s="365"/>
      <c r="G359" s="366"/>
      <c r="H359" s="366"/>
      <c r="I359" s="366"/>
      <c r="J359" s="366"/>
    </row>
    <row r="360" ht="15.75" customHeight="1">
      <c r="A360" s="353"/>
      <c r="B360" s="354"/>
      <c r="C360" s="355"/>
      <c r="D360" s="356"/>
      <c r="E360" s="357"/>
      <c r="F360" s="358"/>
      <c r="G360" s="359"/>
      <c r="H360" s="359"/>
      <c r="I360" s="359"/>
      <c r="J360" s="359"/>
    </row>
    <row r="361" ht="15.75" customHeight="1">
      <c r="A361" s="360"/>
      <c r="B361" s="361"/>
      <c r="C361" s="362"/>
      <c r="D361" s="363"/>
      <c r="E361" s="364"/>
      <c r="F361" s="365"/>
      <c r="G361" s="366"/>
      <c r="H361" s="366"/>
      <c r="I361" s="366"/>
      <c r="J361" s="366"/>
    </row>
    <row r="362" ht="15.75" customHeight="1">
      <c r="A362" s="353"/>
      <c r="B362" s="354"/>
      <c r="C362" s="355"/>
      <c r="D362" s="356"/>
      <c r="E362" s="357"/>
      <c r="F362" s="358"/>
      <c r="G362" s="359"/>
      <c r="H362" s="359"/>
      <c r="I362" s="359"/>
      <c r="J362" s="359"/>
    </row>
    <row r="363" ht="15.75" customHeight="1">
      <c r="A363" s="360"/>
      <c r="B363" s="361"/>
      <c r="C363" s="362"/>
      <c r="D363" s="363"/>
      <c r="E363" s="364"/>
      <c r="F363" s="365"/>
      <c r="G363" s="366"/>
      <c r="H363" s="366"/>
      <c r="I363" s="366"/>
      <c r="J363" s="366"/>
    </row>
    <row r="364" ht="15.75" customHeight="1">
      <c r="A364" s="353"/>
      <c r="B364" s="354"/>
      <c r="C364" s="355"/>
      <c r="D364" s="356"/>
      <c r="E364" s="357"/>
      <c r="F364" s="358"/>
      <c r="G364" s="359"/>
      <c r="H364" s="367"/>
      <c r="I364" s="367"/>
      <c r="J364" s="368"/>
    </row>
    <row r="365" ht="15.75" customHeight="1">
      <c r="A365" s="360"/>
      <c r="B365" s="361"/>
      <c r="C365" s="362"/>
      <c r="D365" s="363"/>
      <c r="E365" s="364"/>
      <c r="F365" s="365"/>
      <c r="G365" s="366"/>
      <c r="H365" s="366"/>
      <c r="I365" s="366"/>
      <c r="J365" s="366"/>
    </row>
    <row r="366" ht="15.75" customHeight="1">
      <c r="A366" s="353"/>
      <c r="B366" s="354"/>
      <c r="C366" s="355"/>
      <c r="D366" s="356"/>
      <c r="E366" s="357"/>
      <c r="F366" s="358"/>
      <c r="G366" s="359"/>
      <c r="H366" s="359"/>
      <c r="I366" s="359"/>
      <c r="J366" s="359"/>
    </row>
    <row r="367" ht="15.75" customHeight="1">
      <c r="A367" s="360"/>
      <c r="B367" s="361"/>
      <c r="C367" s="362"/>
      <c r="D367" s="363"/>
      <c r="E367" s="364"/>
      <c r="F367" s="365"/>
      <c r="G367" s="366"/>
      <c r="H367" s="366"/>
      <c r="I367" s="366"/>
      <c r="J367" s="366"/>
    </row>
    <row r="368" ht="15.75" customHeight="1">
      <c r="A368" s="353"/>
      <c r="B368" s="354"/>
      <c r="C368" s="355"/>
      <c r="D368" s="356"/>
      <c r="E368" s="357"/>
      <c r="F368" s="358"/>
      <c r="G368" s="359"/>
      <c r="H368" s="359"/>
      <c r="I368" s="359"/>
      <c r="J368" s="359"/>
    </row>
    <row r="369" ht="15.75" customHeight="1">
      <c r="A369" s="360"/>
      <c r="B369" s="361"/>
      <c r="C369" s="362"/>
      <c r="D369" s="363"/>
      <c r="E369" s="364"/>
      <c r="F369" s="365"/>
      <c r="G369" s="366"/>
      <c r="H369" s="366"/>
      <c r="I369" s="366"/>
      <c r="J369" s="366"/>
    </row>
    <row r="370" ht="15.75" customHeight="1">
      <c r="A370" s="353"/>
      <c r="B370" s="354"/>
      <c r="C370" s="355"/>
      <c r="D370" s="356"/>
      <c r="E370" s="357"/>
      <c r="F370" s="358"/>
      <c r="G370" s="359"/>
      <c r="H370" s="359"/>
      <c r="I370" s="359"/>
      <c r="J370" s="359"/>
    </row>
    <row r="371" ht="15.75" customHeight="1">
      <c r="A371" s="360"/>
      <c r="B371" s="361"/>
      <c r="C371" s="362"/>
      <c r="D371" s="363"/>
      <c r="E371" s="364"/>
      <c r="F371" s="365"/>
      <c r="G371" s="366"/>
      <c r="H371" s="366"/>
      <c r="I371" s="366"/>
      <c r="J371" s="366"/>
    </row>
    <row r="372" ht="15.75" customHeight="1">
      <c r="A372" s="353"/>
      <c r="B372" s="354"/>
      <c r="C372" s="355"/>
      <c r="D372" s="356"/>
      <c r="E372" s="357"/>
      <c r="F372" s="358"/>
      <c r="G372" s="359"/>
      <c r="H372" s="359"/>
      <c r="I372" s="359"/>
      <c r="J372" s="359"/>
    </row>
    <row r="373" ht="15.75" customHeight="1">
      <c r="A373" s="360"/>
      <c r="B373" s="361"/>
      <c r="C373" s="362"/>
      <c r="D373" s="363"/>
      <c r="E373" s="364"/>
      <c r="F373" s="365"/>
      <c r="G373" s="366"/>
      <c r="H373" s="366"/>
      <c r="I373" s="366"/>
      <c r="J373" s="366"/>
    </row>
    <row r="374" ht="15.75" customHeight="1">
      <c r="A374" s="353"/>
      <c r="B374" s="354"/>
      <c r="C374" s="355"/>
      <c r="D374" s="356"/>
      <c r="E374" s="357"/>
      <c r="F374" s="358"/>
      <c r="G374" s="359"/>
      <c r="H374" s="359"/>
      <c r="I374" s="359"/>
      <c r="J374" s="359"/>
    </row>
    <row r="375" ht="15.75" customHeight="1">
      <c r="A375" s="360"/>
      <c r="B375" s="361"/>
      <c r="C375" s="362"/>
      <c r="D375" s="363"/>
      <c r="E375" s="364"/>
      <c r="F375" s="365"/>
      <c r="G375" s="366"/>
      <c r="H375" s="366"/>
      <c r="I375" s="366"/>
      <c r="J375" s="366"/>
    </row>
    <row r="376" ht="15.75" customHeight="1">
      <c r="A376" s="353"/>
      <c r="B376" s="354"/>
      <c r="C376" s="355"/>
      <c r="D376" s="356"/>
      <c r="E376" s="357"/>
      <c r="F376" s="358"/>
      <c r="G376" s="359"/>
      <c r="H376" s="359"/>
      <c r="I376" s="359"/>
      <c r="J376" s="359"/>
    </row>
    <row r="377" ht="15.75" customHeight="1">
      <c r="A377" s="360"/>
      <c r="B377" s="361"/>
      <c r="C377" s="362"/>
      <c r="D377" s="363"/>
      <c r="E377" s="364"/>
      <c r="F377" s="365"/>
      <c r="G377" s="366"/>
      <c r="H377" s="366"/>
      <c r="I377" s="366"/>
      <c r="J377" s="366"/>
    </row>
    <row r="378" ht="15.75" customHeight="1">
      <c r="A378" s="353"/>
      <c r="B378" s="354"/>
      <c r="C378" s="355"/>
      <c r="D378" s="356"/>
      <c r="E378" s="357"/>
      <c r="F378" s="358"/>
      <c r="G378" s="359"/>
      <c r="H378" s="359"/>
      <c r="I378" s="359"/>
      <c r="J378" s="359"/>
    </row>
    <row r="379" ht="15.75" customHeight="1">
      <c r="A379" s="360"/>
      <c r="B379" s="361"/>
      <c r="C379" s="362"/>
      <c r="D379" s="363"/>
      <c r="E379" s="364"/>
      <c r="F379" s="365"/>
      <c r="G379" s="366"/>
      <c r="H379" s="366"/>
      <c r="I379" s="366"/>
      <c r="J379" s="366"/>
    </row>
    <row r="380" ht="15.75" customHeight="1">
      <c r="A380" s="353"/>
      <c r="B380" s="354"/>
      <c r="C380" s="355"/>
      <c r="D380" s="356"/>
      <c r="E380" s="357"/>
      <c r="F380" s="358"/>
      <c r="G380" s="359"/>
      <c r="H380" s="359"/>
      <c r="I380" s="359"/>
      <c r="J380" s="359"/>
    </row>
    <row r="381" ht="15.75" customHeight="1">
      <c r="A381" s="360"/>
      <c r="B381" s="361"/>
      <c r="C381" s="362"/>
      <c r="D381" s="363"/>
      <c r="E381" s="364"/>
      <c r="F381" s="365"/>
      <c r="G381" s="366"/>
      <c r="H381" s="366"/>
      <c r="I381" s="366"/>
      <c r="J381" s="366"/>
    </row>
    <row r="382" ht="15.75" customHeight="1">
      <c r="A382" s="353"/>
      <c r="B382" s="354"/>
      <c r="C382" s="355"/>
      <c r="D382" s="356"/>
      <c r="E382" s="357"/>
      <c r="F382" s="358"/>
      <c r="G382" s="359"/>
      <c r="H382" s="359"/>
      <c r="I382" s="359"/>
      <c r="J382" s="359"/>
    </row>
    <row r="383" ht="15.75" customHeight="1">
      <c r="A383" s="360"/>
      <c r="B383" s="361"/>
      <c r="C383" s="362"/>
      <c r="D383" s="363"/>
      <c r="E383" s="364"/>
      <c r="F383" s="365"/>
      <c r="G383" s="366"/>
      <c r="H383" s="366"/>
      <c r="I383" s="366"/>
      <c r="J383" s="366"/>
    </row>
    <row r="384" ht="15.75" customHeight="1">
      <c r="A384" s="353"/>
      <c r="B384" s="354"/>
      <c r="C384" s="355"/>
      <c r="D384" s="356"/>
      <c r="E384" s="357"/>
      <c r="F384" s="358"/>
      <c r="G384" s="359"/>
      <c r="H384" s="359"/>
      <c r="I384" s="359"/>
      <c r="J384" s="359"/>
    </row>
    <row r="385" ht="15.75" customHeight="1">
      <c r="A385" s="360"/>
      <c r="B385" s="361"/>
      <c r="C385" s="362"/>
      <c r="D385" s="363"/>
      <c r="E385" s="364"/>
      <c r="F385" s="365"/>
      <c r="G385" s="366"/>
      <c r="H385" s="366"/>
      <c r="I385" s="366"/>
      <c r="J385" s="366"/>
    </row>
    <row r="386" ht="15.75" customHeight="1">
      <c r="A386" s="353"/>
      <c r="B386" s="354"/>
      <c r="C386" s="355"/>
      <c r="D386" s="356"/>
      <c r="E386" s="357"/>
      <c r="F386" s="358"/>
      <c r="G386" s="359"/>
      <c r="H386" s="359"/>
      <c r="I386" s="359"/>
      <c r="J386" s="359"/>
    </row>
    <row r="387" ht="15.75" customHeight="1">
      <c r="A387" s="360"/>
      <c r="B387" s="361"/>
      <c r="C387" s="362"/>
      <c r="D387" s="363"/>
      <c r="E387" s="364"/>
      <c r="F387" s="365"/>
      <c r="G387" s="366"/>
      <c r="H387" s="366"/>
      <c r="I387" s="366"/>
      <c r="J387" s="366"/>
    </row>
    <row r="388" ht="15.75" customHeight="1">
      <c r="A388" s="353"/>
      <c r="B388" s="354"/>
      <c r="C388" s="355"/>
      <c r="D388" s="356"/>
      <c r="E388" s="357"/>
      <c r="F388" s="358"/>
      <c r="G388" s="359"/>
      <c r="H388" s="359"/>
      <c r="I388" s="359"/>
      <c r="J388" s="359"/>
    </row>
    <row r="389" ht="15.75" customHeight="1">
      <c r="A389" s="360"/>
      <c r="B389" s="361"/>
      <c r="C389" s="362"/>
      <c r="D389" s="363"/>
      <c r="E389" s="364"/>
      <c r="F389" s="365"/>
      <c r="G389" s="366"/>
      <c r="H389" s="366"/>
      <c r="I389" s="366"/>
      <c r="J389" s="366"/>
    </row>
    <row r="390" ht="15.75" customHeight="1">
      <c r="A390" s="353"/>
      <c r="B390" s="354"/>
      <c r="C390" s="355"/>
      <c r="D390" s="356"/>
      <c r="E390" s="357"/>
      <c r="F390" s="358"/>
      <c r="G390" s="359"/>
      <c r="H390" s="359"/>
      <c r="I390" s="359"/>
      <c r="J390" s="359"/>
    </row>
    <row r="391" ht="15.75" customHeight="1">
      <c r="A391" s="360"/>
      <c r="B391" s="361"/>
      <c r="C391" s="362"/>
      <c r="D391" s="363"/>
      <c r="E391" s="364"/>
      <c r="F391" s="365"/>
      <c r="G391" s="366"/>
      <c r="H391" s="366"/>
      <c r="I391" s="366"/>
      <c r="J391" s="366"/>
    </row>
    <row r="392" ht="15.75" customHeight="1">
      <c r="A392" s="353"/>
      <c r="B392" s="354"/>
      <c r="C392" s="355"/>
      <c r="D392" s="356"/>
      <c r="E392" s="357"/>
      <c r="F392" s="358"/>
      <c r="G392" s="359"/>
      <c r="H392" s="359"/>
      <c r="I392" s="359"/>
      <c r="J392" s="359"/>
    </row>
    <row r="393" ht="6.0" customHeight="1">
      <c r="A393" s="334"/>
      <c r="B393" s="334"/>
      <c r="C393" s="335"/>
      <c r="D393" s="336"/>
      <c r="E393" s="334"/>
      <c r="F393" s="334"/>
      <c r="G393" s="334"/>
      <c r="H393" s="334"/>
      <c r="I393" s="334"/>
      <c r="J393" s="334"/>
    </row>
    <row r="394" ht="24.0" customHeight="1">
      <c r="A394" s="313" t="s">
        <v>517</v>
      </c>
      <c r="B394" s="55"/>
      <c r="C394" s="55"/>
      <c r="D394" s="55"/>
      <c r="E394" s="55"/>
      <c r="F394" s="56"/>
      <c r="G394" s="314"/>
      <c r="H394" s="315">
        <f>SUM(D395:D543)</f>
        <v>0</v>
      </c>
      <c r="I394" s="316"/>
      <c r="J394" s="317" t="str">
        <f>IF(I394&gt;0,H394/I394,"")</f>
        <v/>
      </c>
    </row>
    <row r="395" ht="15.75" customHeight="1">
      <c r="A395" s="369"/>
      <c r="B395" s="370"/>
      <c r="C395" s="371"/>
      <c r="D395" s="372"/>
      <c r="E395" s="373"/>
      <c r="F395" s="374"/>
      <c r="G395" s="375"/>
      <c r="H395" s="375"/>
      <c r="I395" s="375"/>
      <c r="J395" s="375"/>
    </row>
    <row r="396" ht="15.75" customHeight="1">
      <c r="A396" s="376"/>
      <c r="B396" s="377"/>
      <c r="C396" s="378"/>
      <c r="D396" s="379"/>
      <c r="E396" s="380"/>
      <c r="F396" s="381"/>
      <c r="G396" s="382"/>
      <c r="H396" s="382"/>
      <c r="I396" s="382"/>
      <c r="J396" s="382"/>
    </row>
    <row r="397" ht="15.75" customHeight="1">
      <c r="A397" s="369"/>
      <c r="B397" s="370"/>
      <c r="C397" s="371"/>
      <c r="D397" s="372"/>
      <c r="E397" s="373"/>
      <c r="F397" s="374"/>
      <c r="G397" s="375"/>
      <c r="H397" s="375"/>
      <c r="I397" s="375"/>
      <c r="J397" s="375"/>
    </row>
    <row r="398" ht="15.75" customHeight="1">
      <c r="A398" s="376"/>
      <c r="B398" s="377"/>
      <c r="C398" s="378"/>
      <c r="D398" s="379"/>
      <c r="E398" s="380"/>
      <c r="F398" s="381"/>
      <c r="G398" s="382"/>
      <c r="H398" s="382"/>
      <c r="I398" s="382"/>
      <c r="J398" s="382"/>
    </row>
    <row r="399" ht="15.75" customHeight="1">
      <c r="A399" s="369"/>
      <c r="B399" s="370"/>
      <c r="C399" s="371"/>
      <c r="D399" s="372"/>
      <c r="E399" s="373"/>
      <c r="F399" s="374"/>
      <c r="G399" s="375"/>
      <c r="H399" s="375"/>
      <c r="I399" s="375"/>
      <c r="J399" s="375"/>
    </row>
    <row r="400" ht="15.75" customHeight="1">
      <c r="A400" s="376"/>
      <c r="B400" s="377"/>
      <c r="C400" s="378"/>
      <c r="D400" s="379"/>
      <c r="E400" s="380"/>
      <c r="F400" s="381"/>
      <c r="G400" s="382"/>
      <c r="H400" s="382"/>
      <c r="I400" s="382"/>
      <c r="J400" s="382"/>
    </row>
    <row r="401" ht="15.75" customHeight="1">
      <c r="A401" s="369"/>
      <c r="B401" s="370"/>
      <c r="C401" s="371"/>
      <c r="D401" s="372"/>
      <c r="E401" s="373"/>
      <c r="F401" s="374"/>
      <c r="G401" s="375"/>
      <c r="H401" s="375"/>
      <c r="I401" s="375"/>
      <c r="J401" s="375"/>
    </row>
    <row r="402" ht="15.75" customHeight="1">
      <c r="A402" s="376"/>
      <c r="B402" s="377"/>
      <c r="C402" s="378"/>
      <c r="D402" s="379"/>
      <c r="E402" s="380"/>
      <c r="F402" s="381"/>
      <c r="G402" s="382"/>
      <c r="H402" s="382"/>
      <c r="I402" s="382"/>
      <c r="J402" s="382"/>
    </row>
    <row r="403" ht="15.75" customHeight="1">
      <c r="A403" s="369"/>
      <c r="B403" s="370"/>
      <c r="C403" s="371"/>
      <c r="D403" s="372"/>
      <c r="E403" s="373"/>
      <c r="F403" s="374"/>
      <c r="G403" s="375"/>
      <c r="H403" s="375"/>
      <c r="I403" s="375"/>
      <c r="J403" s="375"/>
    </row>
    <row r="404" ht="15.75" customHeight="1">
      <c r="A404" s="376"/>
      <c r="B404" s="377"/>
      <c r="C404" s="378"/>
      <c r="D404" s="379"/>
      <c r="E404" s="380"/>
      <c r="F404" s="381"/>
      <c r="G404" s="382"/>
      <c r="H404" s="382"/>
      <c r="I404" s="382"/>
      <c r="J404" s="382"/>
    </row>
    <row r="405" ht="15.75" customHeight="1">
      <c r="A405" s="369"/>
      <c r="B405" s="370"/>
      <c r="C405" s="371"/>
      <c r="D405" s="372"/>
      <c r="E405" s="373"/>
      <c r="F405" s="374"/>
      <c r="G405" s="375"/>
      <c r="H405" s="375"/>
      <c r="I405" s="375"/>
      <c r="J405" s="375"/>
    </row>
    <row r="406" ht="15.75" customHeight="1">
      <c r="A406" s="376"/>
      <c r="B406" s="377"/>
      <c r="C406" s="378"/>
      <c r="D406" s="379"/>
      <c r="E406" s="380"/>
      <c r="F406" s="381"/>
      <c r="G406" s="382"/>
      <c r="H406" s="382"/>
      <c r="I406" s="382"/>
      <c r="J406" s="382"/>
    </row>
    <row r="407" ht="15.75" customHeight="1">
      <c r="A407" s="369"/>
      <c r="B407" s="370"/>
      <c r="C407" s="371"/>
      <c r="D407" s="372"/>
      <c r="E407" s="373"/>
      <c r="F407" s="374"/>
      <c r="G407" s="375"/>
      <c r="H407" s="375"/>
      <c r="I407" s="375"/>
      <c r="J407" s="375"/>
    </row>
    <row r="408" ht="15.75" customHeight="1">
      <c r="A408" s="376"/>
      <c r="B408" s="377"/>
      <c r="C408" s="378"/>
      <c r="D408" s="379"/>
      <c r="E408" s="380"/>
      <c r="F408" s="381"/>
      <c r="G408" s="382"/>
      <c r="H408" s="382"/>
      <c r="I408" s="382"/>
      <c r="J408" s="382"/>
    </row>
    <row r="409" ht="15.75" customHeight="1">
      <c r="A409" s="369"/>
      <c r="B409" s="370"/>
      <c r="C409" s="371"/>
      <c r="D409" s="372"/>
      <c r="E409" s="373"/>
      <c r="F409" s="374"/>
      <c r="G409" s="375"/>
      <c r="H409" s="375"/>
      <c r="I409" s="375"/>
      <c r="J409" s="375"/>
    </row>
    <row r="410" ht="15.75" customHeight="1">
      <c r="A410" s="376"/>
      <c r="B410" s="377"/>
      <c r="C410" s="378"/>
      <c r="D410" s="379"/>
      <c r="E410" s="380"/>
      <c r="F410" s="381"/>
      <c r="G410" s="382"/>
      <c r="H410" s="382"/>
      <c r="I410" s="382"/>
      <c r="J410" s="382"/>
    </row>
    <row r="411" ht="15.75" customHeight="1">
      <c r="A411" s="369"/>
      <c r="B411" s="370"/>
      <c r="C411" s="371"/>
      <c r="D411" s="372"/>
      <c r="E411" s="373"/>
      <c r="F411" s="374"/>
      <c r="G411" s="375"/>
      <c r="H411" s="375"/>
      <c r="I411" s="375"/>
      <c r="J411" s="375"/>
    </row>
    <row r="412" ht="15.75" customHeight="1">
      <c r="A412" s="376"/>
      <c r="B412" s="377"/>
      <c r="C412" s="378"/>
      <c r="D412" s="379"/>
      <c r="E412" s="380"/>
      <c r="F412" s="381"/>
      <c r="G412" s="382"/>
      <c r="H412" s="382"/>
      <c r="I412" s="382"/>
      <c r="J412" s="382"/>
    </row>
    <row r="413" ht="15.75" customHeight="1">
      <c r="A413" s="369"/>
      <c r="B413" s="370"/>
      <c r="C413" s="371"/>
      <c r="D413" s="372"/>
      <c r="E413" s="373"/>
      <c r="F413" s="374"/>
      <c r="G413" s="375"/>
      <c r="H413" s="375"/>
      <c r="I413" s="375"/>
      <c r="J413" s="375"/>
    </row>
    <row r="414" ht="15.75" customHeight="1">
      <c r="A414" s="376"/>
      <c r="B414" s="377"/>
      <c r="C414" s="378"/>
      <c r="D414" s="379"/>
      <c r="E414" s="380"/>
      <c r="F414" s="381"/>
      <c r="G414" s="382"/>
      <c r="H414" s="382"/>
      <c r="I414" s="382"/>
      <c r="J414" s="382"/>
    </row>
    <row r="415" ht="15.75" customHeight="1">
      <c r="A415" s="369"/>
      <c r="B415" s="370"/>
      <c r="C415" s="371"/>
      <c r="D415" s="372"/>
      <c r="E415" s="373"/>
      <c r="F415" s="374"/>
      <c r="G415" s="375"/>
      <c r="H415" s="375"/>
      <c r="I415" s="375"/>
      <c r="J415" s="375"/>
    </row>
    <row r="416" ht="15.75" customHeight="1">
      <c r="A416" s="376"/>
      <c r="B416" s="377"/>
      <c r="C416" s="378"/>
      <c r="D416" s="379"/>
      <c r="E416" s="380"/>
      <c r="F416" s="381"/>
      <c r="G416" s="382"/>
      <c r="H416" s="382"/>
      <c r="I416" s="382"/>
      <c r="J416" s="382"/>
    </row>
    <row r="417" ht="15.75" customHeight="1">
      <c r="A417" s="369"/>
      <c r="B417" s="370"/>
      <c r="C417" s="371"/>
      <c r="D417" s="372"/>
      <c r="E417" s="373"/>
      <c r="F417" s="374"/>
      <c r="G417" s="375"/>
      <c r="H417" s="375"/>
      <c r="I417" s="375"/>
      <c r="J417" s="375"/>
    </row>
    <row r="418" ht="15.75" customHeight="1">
      <c r="A418" s="376"/>
      <c r="B418" s="377"/>
      <c r="C418" s="378"/>
      <c r="D418" s="379"/>
      <c r="E418" s="380"/>
      <c r="F418" s="381"/>
      <c r="G418" s="382"/>
      <c r="H418" s="382"/>
      <c r="I418" s="382"/>
      <c r="J418" s="382"/>
    </row>
    <row r="419" ht="15.75" customHeight="1">
      <c r="A419" s="369"/>
      <c r="B419" s="370"/>
      <c r="C419" s="371"/>
      <c r="D419" s="372"/>
      <c r="E419" s="373"/>
      <c r="F419" s="374"/>
      <c r="G419" s="375"/>
      <c r="H419" s="375"/>
      <c r="I419" s="375"/>
      <c r="J419" s="375"/>
    </row>
    <row r="420" ht="15.75" customHeight="1">
      <c r="A420" s="376"/>
      <c r="B420" s="377"/>
      <c r="C420" s="378"/>
      <c r="D420" s="379"/>
      <c r="E420" s="380"/>
      <c r="F420" s="381"/>
      <c r="G420" s="382"/>
      <c r="H420" s="382"/>
      <c r="I420" s="382"/>
      <c r="J420" s="382"/>
    </row>
    <row r="421" ht="15.75" customHeight="1">
      <c r="A421" s="369"/>
      <c r="B421" s="370"/>
      <c r="C421" s="371"/>
      <c r="D421" s="372"/>
      <c r="E421" s="373"/>
      <c r="F421" s="374"/>
      <c r="G421" s="375"/>
      <c r="H421" s="375"/>
      <c r="I421" s="375"/>
      <c r="J421" s="375"/>
    </row>
    <row r="422" ht="15.75" customHeight="1">
      <c r="A422" s="376"/>
      <c r="B422" s="377"/>
      <c r="C422" s="378"/>
      <c r="D422" s="379"/>
      <c r="E422" s="380"/>
      <c r="F422" s="381"/>
      <c r="G422" s="382"/>
      <c r="H422" s="382"/>
      <c r="I422" s="382"/>
      <c r="J422" s="382"/>
    </row>
    <row r="423" ht="15.75" customHeight="1">
      <c r="A423" s="369"/>
      <c r="B423" s="370"/>
      <c r="C423" s="371"/>
      <c r="D423" s="372"/>
      <c r="E423" s="373"/>
      <c r="F423" s="374"/>
      <c r="G423" s="375"/>
      <c r="H423" s="375"/>
      <c r="I423" s="375"/>
      <c r="J423" s="375"/>
    </row>
    <row r="424" ht="15.75" customHeight="1">
      <c r="A424" s="376"/>
      <c r="B424" s="377"/>
      <c r="C424" s="378"/>
      <c r="D424" s="379"/>
      <c r="E424" s="380"/>
      <c r="F424" s="381"/>
      <c r="G424" s="382"/>
      <c r="H424" s="382"/>
      <c r="I424" s="382"/>
      <c r="J424" s="382"/>
    </row>
    <row r="425" ht="15.75" customHeight="1">
      <c r="A425" s="369"/>
      <c r="B425" s="370"/>
      <c r="C425" s="371"/>
      <c r="D425" s="372"/>
      <c r="E425" s="373"/>
      <c r="F425" s="374"/>
      <c r="G425" s="375"/>
      <c r="H425" s="375"/>
      <c r="I425" s="375"/>
      <c r="J425" s="375"/>
    </row>
    <row r="426" ht="15.75" customHeight="1">
      <c r="A426" s="376"/>
      <c r="B426" s="377"/>
      <c r="C426" s="378"/>
      <c r="D426" s="379"/>
      <c r="E426" s="380"/>
      <c r="F426" s="381"/>
      <c r="G426" s="382"/>
      <c r="H426" s="382"/>
      <c r="I426" s="382"/>
      <c r="J426" s="382"/>
    </row>
    <row r="427" ht="15.75" customHeight="1">
      <c r="A427" s="369"/>
      <c r="B427" s="370"/>
      <c r="C427" s="371"/>
      <c r="D427" s="372"/>
      <c r="E427" s="373"/>
      <c r="F427" s="374"/>
      <c r="G427" s="375"/>
      <c r="H427" s="375"/>
      <c r="I427" s="375"/>
      <c r="J427" s="375"/>
    </row>
    <row r="428" ht="15.75" customHeight="1">
      <c r="A428" s="376"/>
      <c r="B428" s="377"/>
      <c r="C428" s="378"/>
      <c r="D428" s="379"/>
      <c r="E428" s="380"/>
      <c r="F428" s="381"/>
      <c r="G428" s="382"/>
      <c r="H428" s="382"/>
      <c r="I428" s="382"/>
      <c r="J428" s="382"/>
    </row>
    <row r="429" ht="15.75" customHeight="1">
      <c r="A429" s="369"/>
      <c r="B429" s="370"/>
      <c r="C429" s="371"/>
      <c r="D429" s="372"/>
      <c r="E429" s="373"/>
      <c r="F429" s="374"/>
      <c r="G429" s="375"/>
      <c r="H429" s="375"/>
      <c r="I429" s="375"/>
      <c r="J429" s="375"/>
    </row>
    <row r="430" ht="15.75" customHeight="1">
      <c r="A430" s="376"/>
      <c r="B430" s="377"/>
      <c r="C430" s="378"/>
      <c r="D430" s="379"/>
      <c r="E430" s="380"/>
      <c r="F430" s="381"/>
      <c r="G430" s="382"/>
      <c r="H430" s="382"/>
      <c r="I430" s="382"/>
      <c r="J430" s="382"/>
    </row>
    <row r="431" ht="15.75" customHeight="1">
      <c r="A431" s="369"/>
      <c r="B431" s="370"/>
      <c r="C431" s="371"/>
      <c r="D431" s="372"/>
      <c r="E431" s="373"/>
      <c r="F431" s="374"/>
      <c r="G431" s="375"/>
      <c r="H431" s="375"/>
      <c r="I431" s="375"/>
      <c r="J431" s="375"/>
    </row>
    <row r="432" ht="15.75" customHeight="1">
      <c r="A432" s="376"/>
      <c r="B432" s="377"/>
      <c r="C432" s="378"/>
      <c r="D432" s="379"/>
      <c r="E432" s="380"/>
      <c r="F432" s="381"/>
      <c r="G432" s="382"/>
      <c r="H432" s="382"/>
      <c r="I432" s="382"/>
      <c r="J432" s="382"/>
    </row>
    <row r="433" ht="15.75" customHeight="1">
      <c r="A433" s="369"/>
      <c r="B433" s="370"/>
      <c r="C433" s="371"/>
      <c r="D433" s="372"/>
      <c r="E433" s="373"/>
      <c r="F433" s="374"/>
      <c r="G433" s="375"/>
      <c r="H433" s="375"/>
      <c r="I433" s="375"/>
      <c r="J433" s="375"/>
    </row>
    <row r="434" ht="15.75" customHeight="1">
      <c r="A434" s="376"/>
      <c r="B434" s="377"/>
      <c r="C434" s="378"/>
      <c r="D434" s="379"/>
      <c r="E434" s="380"/>
      <c r="F434" s="381"/>
      <c r="G434" s="382"/>
      <c r="H434" s="382"/>
      <c r="I434" s="382"/>
      <c r="J434" s="382"/>
    </row>
    <row r="435" ht="15.75" customHeight="1">
      <c r="A435" s="369"/>
      <c r="B435" s="370"/>
      <c r="C435" s="371"/>
      <c r="D435" s="372"/>
      <c r="E435" s="373"/>
      <c r="F435" s="374"/>
      <c r="G435" s="375"/>
      <c r="H435" s="375"/>
      <c r="I435" s="375"/>
      <c r="J435" s="375"/>
    </row>
    <row r="436" ht="15.75" customHeight="1">
      <c r="A436" s="376"/>
      <c r="B436" s="377"/>
      <c r="C436" s="378"/>
      <c r="D436" s="379"/>
      <c r="E436" s="380"/>
      <c r="F436" s="381"/>
      <c r="G436" s="382"/>
      <c r="H436" s="382"/>
      <c r="I436" s="382"/>
      <c r="J436" s="382"/>
    </row>
    <row r="437" ht="15.75" customHeight="1">
      <c r="A437" s="369"/>
      <c r="B437" s="370"/>
      <c r="C437" s="371"/>
      <c r="D437" s="372"/>
      <c r="E437" s="373"/>
      <c r="F437" s="374"/>
      <c r="G437" s="375"/>
      <c r="H437" s="375"/>
      <c r="I437" s="375"/>
      <c r="J437" s="375"/>
    </row>
    <row r="438" ht="15.75" customHeight="1">
      <c r="A438" s="376"/>
      <c r="B438" s="377"/>
      <c r="C438" s="378"/>
      <c r="D438" s="379"/>
      <c r="E438" s="380"/>
      <c r="F438" s="381"/>
      <c r="G438" s="382"/>
      <c r="H438" s="382"/>
      <c r="I438" s="382"/>
      <c r="J438" s="382"/>
    </row>
    <row r="439" ht="15.75" customHeight="1">
      <c r="A439" s="369"/>
      <c r="B439" s="370"/>
      <c r="C439" s="371"/>
      <c r="D439" s="372"/>
      <c r="E439" s="373"/>
      <c r="F439" s="374"/>
      <c r="G439" s="375"/>
      <c r="H439" s="375"/>
      <c r="I439" s="375"/>
      <c r="J439" s="375"/>
    </row>
    <row r="440" ht="15.75" customHeight="1">
      <c r="A440" s="376"/>
      <c r="B440" s="377"/>
      <c r="C440" s="378"/>
      <c r="D440" s="379"/>
      <c r="E440" s="380"/>
      <c r="F440" s="381"/>
      <c r="G440" s="382"/>
      <c r="H440" s="382"/>
      <c r="I440" s="382"/>
      <c r="J440" s="382"/>
    </row>
    <row r="441" ht="15.75" customHeight="1">
      <c r="A441" s="369"/>
      <c r="B441" s="370"/>
      <c r="C441" s="371"/>
      <c r="D441" s="372"/>
      <c r="E441" s="373"/>
      <c r="F441" s="374"/>
      <c r="G441" s="375"/>
      <c r="H441" s="375"/>
      <c r="I441" s="375"/>
      <c r="J441" s="375"/>
    </row>
    <row r="442" ht="15.75" customHeight="1">
      <c r="A442" s="376"/>
      <c r="B442" s="377"/>
      <c r="C442" s="378"/>
      <c r="D442" s="379"/>
      <c r="E442" s="380"/>
      <c r="F442" s="381"/>
      <c r="G442" s="382"/>
      <c r="H442" s="382"/>
      <c r="I442" s="382"/>
      <c r="J442" s="382"/>
    </row>
    <row r="443" ht="15.75" customHeight="1">
      <c r="A443" s="369"/>
      <c r="B443" s="370"/>
      <c r="C443" s="371"/>
      <c r="D443" s="372"/>
      <c r="E443" s="373"/>
      <c r="F443" s="374"/>
      <c r="G443" s="375"/>
      <c r="H443" s="375"/>
      <c r="I443" s="375"/>
      <c r="J443" s="375"/>
    </row>
    <row r="444" ht="15.75" customHeight="1">
      <c r="A444" s="376"/>
      <c r="B444" s="377"/>
      <c r="C444" s="378"/>
      <c r="D444" s="379"/>
      <c r="E444" s="380"/>
      <c r="F444" s="381"/>
      <c r="G444" s="382"/>
      <c r="H444" s="382"/>
      <c r="I444" s="382"/>
      <c r="J444" s="382"/>
    </row>
    <row r="445" ht="15.75" customHeight="1">
      <c r="A445" s="369"/>
      <c r="B445" s="370"/>
      <c r="C445" s="371"/>
      <c r="D445" s="372"/>
      <c r="E445" s="373"/>
      <c r="F445" s="374"/>
      <c r="G445" s="375"/>
      <c r="H445" s="375"/>
      <c r="I445" s="375"/>
      <c r="J445" s="375"/>
    </row>
    <row r="446" ht="15.75" customHeight="1">
      <c r="A446" s="376"/>
      <c r="B446" s="377"/>
      <c r="C446" s="378"/>
      <c r="D446" s="379"/>
      <c r="E446" s="380"/>
      <c r="F446" s="381"/>
      <c r="G446" s="382"/>
      <c r="H446" s="382"/>
      <c r="I446" s="382"/>
      <c r="J446" s="382"/>
    </row>
    <row r="447" ht="15.75" customHeight="1">
      <c r="A447" s="369"/>
      <c r="B447" s="370"/>
      <c r="C447" s="371"/>
      <c r="D447" s="372"/>
      <c r="E447" s="373"/>
      <c r="F447" s="374"/>
      <c r="G447" s="375"/>
      <c r="H447" s="375"/>
      <c r="I447" s="375"/>
      <c r="J447" s="375"/>
    </row>
    <row r="448" ht="15.75" customHeight="1">
      <c r="A448" s="376"/>
      <c r="B448" s="377"/>
      <c r="C448" s="378"/>
      <c r="D448" s="379"/>
      <c r="E448" s="380"/>
      <c r="F448" s="381"/>
      <c r="G448" s="382"/>
      <c r="H448" s="382"/>
      <c r="I448" s="382"/>
      <c r="J448" s="382"/>
    </row>
    <row r="449" ht="15.75" customHeight="1">
      <c r="A449" s="369"/>
      <c r="B449" s="370"/>
      <c r="C449" s="371"/>
      <c r="D449" s="372"/>
      <c r="E449" s="373"/>
      <c r="F449" s="374"/>
      <c r="G449" s="375"/>
      <c r="H449" s="375"/>
      <c r="I449" s="375"/>
      <c r="J449" s="375"/>
    </row>
    <row r="450" ht="15.75" customHeight="1">
      <c r="A450" s="376"/>
      <c r="B450" s="377"/>
      <c r="C450" s="378"/>
      <c r="D450" s="379"/>
      <c r="E450" s="380"/>
      <c r="F450" s="381"/>
      <c r="G450" s="382"/>
      <c r="H450" s="382"/>
      <c r="I450" s="382"/>
      <c r="J450" s="382"/>
    </row>
    <row r="451" ht="15.75" customHeight="1">
      <c r="A451" s="369"/>
      <c r="B451" s="370"/>
      <c r="C451" s="371"/>
      <c r="D451" s="372"/>
      <c r="E451" s="373"/>
      <c r="F451" s="374"/>
      <c r="G451" s="375"/>
      <c r="H451" s="375"/>
      <c r="I451" s="375"/>
      <c r="J451" s="375"/>
    </row>
    <row r="452" ht="15.75" customHeight="1">
      <c r="A452" s="376"/>
      <c r="B452" s="377"/>
      <c r="C452" s="378"/>
      <c r="D452" s="379"/>
      <c r="E452" s="380"/>
      <c r="F452" s="381"/>
      <c r="G452" s="382"/>
      <c r="H452" s="382"/>
      <c r="I452" s="382"/>
      <c r="J452" s="382"/>
    </row>
    <row r="453" ht="15.75" customHeight="1">
      <c r="A453" s="369"/>
      <c r="B453" s="370"/>
      <c r="C453" s="371"/>
      <c r="D453" s="372"/>
      <c r="E453" s="373"/>
      <c r="F453" s="374"/>
      <c r="G453" s="375"/>
      <c r="H453" s="375"/>
      <c r="I453" s="375"/>
      <c r="J453" s="375"/>
    </row>
    <row r="454" ht="15.75" customHeight="1">
      <c r="A454" s="376"/>
      <c r="B454" s="377"/>
      <c r="C454" s="378"/>
      <c r="D454" s="379"/>
      <c r="E454" s="380"/>
      <c r="F454" s="381"/>
      <c r="G454" s="382"/>
      <c r="H454" s="382"/>
      <c r="I454" s="382"/>
      <c r="J454" s="382"/>
    </row>
    <row r="455" ht="15.75" customHeight="1">
      <c r="A455" s="369"/>
      <c r="B455" s="370"/>
      <c r="C455" s="371"/>
      <c r="D455" s="372"/>
      <c r="E455" s="373"/>
      <c r="F455" s="374"/>
      <c r="G455" s="375"/>
      <c r="H455" s="375"/>
      <c r="I455" s="375"/>
      <c r="J455" s="375"/>
    </row>
    <row r="456" ht="15.75" customHeight="1">
      <c r="A456" s="376"/>
      <c r="B456" s="377"/>
      <c r="C456" s="378"/>
      <c r="D456" s="379"/>
      <c r="E456" s="380"/>
      <c r="F456" s="381"/>
      <c r="G456" s="382"/>
      <c r="H456" s="382"/>
      <c r="I456" s="382"/>
      <c r="J456" s="382"/>
    </row>
    <row r="457" ht="15.75" customHeight="1">
      <c r="A457" s="369"/>
      <c r="B457" s="370"/>
      <c r="C457" s="371"/>
      <c r="D457" s="372"/>
      <c r="E457" s="373"/>
      <c r="F457" s="374"/>
      <c r="G457" s="375"/>
      <c r="H457" s="375"/>
      <c r="I457" s="375"/>
      <c r="J457" s="375"/>
    </row>
    <row r="458" ht="15.75" customHeight="1">
      <c r="A458" s="376"/>
      <c r="B458" s="377"/>
      <c r="C458" s="378"/>
      <c r="D458" s="379"/>
      <c r="E458" s="380"/>
      <c r="F458" s="381"/>
      <c r="G458" s="382"/>
      <c r="H458" s="382"/>
      <c r="I458" s="382"/>
      <c r="J458" s="382"/>
    </row>
    <row r="459" ht="15.75" customHeight="1">
      <c r="A459" s="369"/>
      <c r="B459" s="370"/>
      <c r="C459" s="371"/>
      <c r="D459" s="372"/>
      <c r="E459" s="373"/>
      <c r="F459" s="374"/>
      <c r="G459" s="375"/>
      <c r="H459" s="375"/>
      <c r="I459" s="375"/>
      <c r="J459" s="375"/>
    </row>
    <row r="460" ht="15.75" customHeight="1">
      <c r="A460" s="376"/>
      <c r="B460" s="377"/>
      <c r="C460" s="378"/>
      <c r="D460" s="379"/>
      <c r="E460" s="380"/>
      <c r="F460" s="381"/>
      <c r="G460" s="382"/>
      <c r="H460" s="382"/>
      <c r="I460" s="382"/>
      <c r="J460" s="382"/>
    </row>
    <row r="461" ht="15.75" customHeight="1">
      <c r="A461" s="369"/>
      <c r="B461" s="370"/>
      <c r="C461" s="371"/>
      <c r="D461" s="372"/>
      <c r="E461" s="373"/>
      <c r="F461" s="374"/>
      <c r="G461" s="375"/>
      <c r="H461" s="375"/>
      <c r="I461" s="375"/>
      <c r="J461" s="375"/>
    </row>
    <row r="462" ht="15.75" customHeight="1">
      <c r="A462" s="376"/>
      <c r="B462" s="377"/>
      <c r="C462" s="378"/>
      <c r="D462" s="379"/>
      <c r="E462" s="380"/>
      <c r="F462" s="381"/>
      <c r="G462" s="382"/>
      <c r="H462" s="382"/>
      <c r="I462" s="382"/>
      <c r="J462" s="382"/>
    </row>
    <row r="463" ht="15.75" customHeight="1">
      <c r="A463" s="369"/>
      <c r="B463" s="370"/>
      <c r="C463" s="371"/>
      <c r="D463" s="372"/>
      <c r="E463" s="373"/>
      <c r="F463" s="374"/>
      <c r="G463" s="375"/>
      <c r="H463" s="375"/>
      <c r="I463" s="375"/>
      <c r="J463" s="375"/>
    </row>
    <row r="464" ht="15.75" customHeight="1">
      <c r="A464" s="376"/>
      <c r="B464" s="377"/>
      <c r="C464" s="378"/>
      <c r="D464" s="379"/>
      <c r="E464" s="380"/>
      <c r="F464" s="381"/>
      <c r="G464" s="382"/>
      <c r="H464" s="382"/>
      <c r="I464" s="382"/>
      <c r="J464" s="382"/>
    </row>
    <row r="465" ht="15.75" customHeight="1">
      <c r="A465" s="369"/>
      <c r="B465" s="370"/>
      <c r="C465" s="371"/>
      <c r="D465" s="372"/>
      <c r="E465" s="373"/>
      <c r="F465" s="374"/>
      <c r="G465" s="375"/>
      <c r="H465" s="375"/>
      <c r="I465" s="375"/>
      <c r="J465" s="375"/>
    </row>
    <row r="466" ht="15.75" customHeight="1">
      <c r="A466" s="376"/>
      <c r="B466" s="377"/>
      <c r="C466" s="378"/>
      <c r="D466" s="379"/>
      <c r="E466" s="380"/>
      <c r="F466" s="381"/>
      <c r="G466" s="382"/>
      <c r="H466" s="382"/>
      <c r="I466" s="382"/>
      <c r="J466" s="382"/>
    </row>
    <row r="467" ht="15.75" customHeight="1">
      <c r="A467" s="369"/>
      <c r="B467" s="370"/>
      <c r="C467" s="371"/>
      <c r="D467" s="372"/>
      <c r="E467" s="373"/>
      <c r="F467" s="374"/>
      <c r="G467" s="375"/>
      <c r="H467" s="375"/>
      <c r="I467" s="375"/>
      <c r="J467" s="375"/>
    </row>
    <row r="468" ht="15.75" customHeight="1">
      <c r="A468" s="376"/>
      <c r="B468" s="377"/>
      <c r="C468" s="378"/>
      <c r="D468" s="379"/>
      <c r="E468" s="380"/>
      <c r="F468" s="381"/>
      <c r="G468" s="382"/>
      <c r="H468" s="382"/>
      <c r="I468" s="382"/>
      <c r="J468" s="382"/>
    </row>
    <row r="469" ht="15.75" customHeight="1">
      <c r="A469" s="369"/>
      <c r="B469" s="370"/>
      <c r="C469" s="371"/>
      <c r="D469" s="372"/>
      <c r="E469" s="373"/>
      <c r="F469" s="374"/>
      <c r="G469" s="375"/>
      <c r="H469" s="375"/>
      <c r="I469" s="375"/>
      <c r="J469" s="375"/>
    </row>
    <row r="470" ht="15.75" customHeight="1">
      <c r="A470" s="376"/>
      <c r="B470" s="377"/>
      <c r="C470" s="378"/>
      <c r="D470" s="379"/>
      <c r="E470" s="380"/>
      <c r="F470" s="381"/>
      <c r="G470" s="382"/>
      <c r="H470" s="382"/>
      <c r="I470" s="382"/>
      <c r="J470" s="382"/>
    </row>
    <row r="471" ht="15.75" customHeight="1">
      <c r="A471" s="369"/>
      <c r="B471" s="370"/>
      <c r="C471" s="371"/>
      <c r="D471" s="372"/>
      <c r="E471" s="373"/>
      <c r="F471" s="374"/>
      <c r="G471" s="375"/>
      <c r="H471" s="375"/>
      <c r="I471" s="375"/>
      <c r="J471" s="375"/>
    </row>
    <row r="472" ht="15.75" customHeight="1">
      <c r="A472" s="376"/>
      <c r="B472" s="377"/>
      <c r="C472" s="378"/>
      <c r="D472" s="379"/>
      <c r="E472" s="380"/>
      <c r="F472" s="381"/>
      <c r="G472" s="382"/>
      <c r="H472" s="382"/>
      <c r="I472" s="382"/>
      <c r="J472" s="382"/>
    </row>
    <row r="473" ht="15.75" customHeight="1">
      <c r="A473" s="369"/>
      <c r="B473" s="370"/>
      <c r="C473" s="371"/>
      <c r="D473" s="372"/>
      <c r="E473" s="373"/>
      <c r="F473" s="374"/>
      <c r="G473" s="375"/>
      <c r="H473" s="375"/>
      <c r="I473" s="375"/>
      <c r="J473" s="375"/>
    </row>
    <row r="474" ht="15.75" customHeight="1">
      <c r="A474" s="376"/>
      <c r="B474" s="377"/>
      <c r="C474" s="378"/>
      <c r="D474" s="379"/>
      <c r="E474" s="380"/>
      <c r="F474" s="381"/>
      <c r="G474" s="382"/>
      <c r="H474" s="382"/>
      <c r="I474" s="382"/>
      <c r="J474" s="382"/>
    </row>
    <row r="475" ht="15.75" customHeight="1">
      <c r="A475" s="369"/>
      <c r="B475" s="370"/>
      <c r="C475" s="371"/>
      <c r="D475" s="372"/>
      <c r="E475" s="373"/>
      <c r="F475" s="374"/>
      <c r="G475" s="375"/>
      <c r="H475" s="375"/>
      <c r="I475" s="375"/>
      <c r="J475" s="375"/>
    </row>
    <row r="476" ht="15.75" customHeight="1">
      <c r="A476" s="376"/>
      <c r="B476" s="377"/>
      <c r="C476" s="378"/>
      <c r="D476" s="379"/>
      <c r="E476" s="380"/>
      <c r="F476" s="381"/>
      <c r="G476" s="382"/>
      <c r="H476" s="382"/>
      <c r="I476" s="382"/>
      <c r="J476" s="382"/>
    </row>
    <row r="477" ht="15.75" customHeight="1">
      <c r="A477" s="369"/>
      <c r="B477" s="370"/>
      <c r="C477" s="371"/>
      <c r="D477" s="372"/>
      <c r="E477" s="373"/>
      <c r="F477" s="374"/>
      <c r="G477" s="375"/>
      <c r="H477" s="375"/>
      <c r="I477" s="375"/>
      <c r="J477" s="375"/>
    </row>
    <row r="478" ht="15.75" customHeight="1">
      <c r="A478" s="376"/>
      <c r="B478" s="377"/>
      <c r="C478" s="378"/>
      <c r="D478" s="379"/>
      <c r="E478" s="380"/>
      <c r="F478" s="381"/>
      <c r="G478" s="382"/>
      <c r="H478" s="382"/>
      <c r="I478" s="382"/>
      <c r="J478" s="382"/>
    </row>
    <row r="479" ht="15.75" customHeight="1">
      <c r="A479" s="369"/>
      <c r="B479" s="370"/>
      <c r="C479" s="371"/>
      <c r="D479" s="372"/>
      <c r="E479" s="373"/>
      <c r="F479" s="374"/>
      <c r="G479" s="375"/>
      <c r="H479" s="375"/>
      <c r="I479" s="375"/>
      <c r="J479" s="375"/>
    </row>
    <row r="480" ht="15.75" customHeight="1">
      <c r="A480" s="376"/>
      <c r="B480" s="377"/>
      <c r="C480" s="378"/>
      <c r="D480" s="379"/>
      <c r="E480" s="380"/>
      <c r="F480" s="381"/>
      <c r="G480" s="382"/>
      <c r="H480" s="382"/>
      <c r="I480" s="382"/>
      <c r="J480" s="382"/>
    </row>
    <row r="481" ht="15.75" customHeight="1">
      <c r="A481" s="369"/>
      <c r="B481" s="370"/>
      <c r="C481" s="371"/>
      <c r="D481" s="372"/>
      <c r="E481" s="373"/>
      <c r="F481" s="374"/>
      <c r="G481" s="375"/>
      <c r="H481" s="375"/>
      <c r="I481" s="375"/>
      <c r="J481" s="375"/>
    </row>
    <row r="482" ht="15.75" customHeight="1">
      <c r="A482" s="376"/>
      <c r="B482" s="377"/>
      <c r="C482" s="378"/>
      <c r="D482" s="379"/>
      <c r="E482" s="380"/>
      <c r="F482" s="381"/>
      <c r="G482" s="382"/>
      <c r="H482" s="382"/>
      <c r="I482" s="382"/>
      <c r="J482" s="382"/>
    </row>
    <row r="483" ht="15.75" customHeight="1">
      <c r="A483" s="369"/>
      <c r="B483" s="370"/>
      <c r="C483" s="371"/>
      <c r="D483" s="372"/>
      <c r="E483" s="373"/>
      <c r="F483" s="374"/>
      <c r="G483" s="375"/>
      <c r="H483" s="375"/>
      <c r="I483" s="375"/>
      <c r="J483" s="375"/>
    </row>
    <row r="484" ht="15.75" customHeight="1">
      <c r="A484" s="376"/>
      <c r="B484" s="377"/>
      <c r="C484" s="378"/>
      <c r="D484" s="379"/>
      <c r="E484" s="380"/>
      <c r="F484" s="381"/>
      <c r="G484" s="382"/>
      <c r="H484" s="382"/>
      <c r="I484" s="382"/>
      <c r="J484" s="382"/>
    </row>
    <row r="485" ht="15.75" customHeight="1">
      <c r="A485" s="369"/>
      <c r="B485" s="370"/>
      <c r="C485" s="371"/>
      <c r="D485" s="372"/>
      <c r="E485" s="373"/>
      <c r="F485" s="374"/>
      <c r="G485" s="375"/>
      <c r="H485" s="375"/>
      <c r="I485" s="375"/>
      <c r="J485" s="375"/>
    </row>
    <row r="486" ht="15.75" customHeight="1">
      <c r="A486" s="376"/>
      <c r="B486" s="377"/>
      <c r="C486" s="378"/>
      <c r="D486" s="379"/>
      <c r="E486" s="380"/>
      <c r="F486" s="381"/>
      <c r="G486" s="382"/>
      <c r="H486" s="382"/>
      <c r="I486" s="382"/>
      <c r="J486" s="382"/>
    </row>
    <row r="487" ht="15.75" customHeight="1">
      <c r="A487" s="369"/>
      <c r="B487" s="370"/>
      <c r="C487" s="371"/>
      <c r="D487" s="372"/>
      <c r="E487" s="373"/>
      <c r="F487" s="374"/>
      <c r="G487" s="375"/>
      <c r="H487" s="375"/>
      <c r="I487" s="375"/>
      <c r="J487" s="375"/>
    </row>
    <row r="488" ht="15.75" customHeight="1">
      <c r="A488" s="376"/>
      <c r="B488" s="377"/>
      <c r="C488" s="378"/>
      <c r="D488" s="379"/>
      <c r="E488" s="380"/>
      <c r="F488" s="381"/>
      <c r="G488" s="382"/>
      <c r="H488" s="382"/>
      <c r="I488" s="382"/>
      <c r="J488" s="382"/>
    </row>
    <row r="489" ht="15.75" customHeight="1">
      <c r="A489" s="369"/>
      <c r="B489" s="370"/>
      <c r="C489" s="371"/>
      <c r="D489" s="372"/>
      <c r="E489" s="373"/>
      <c r="F489" s="374"/>
      <c r="G489" s="375"/>
      <c r="H489" s="375"/>
      <c r="I489" s="375"/>
      <c r="J489" s="375"/>
    </row>
    <row r="490" ht="15.75" customHeight="1">
      <c r="A490" s="376"/>
      <c r="B490" s="377"/>
      <c r="C490" s="378"/>
      <c r="D490" s="379"/>
      <c r="E490" s="380"/>
      <c r="F490" s="381"/>
      <c r="G490" s="382"/>
      <c r="H490" s="382"/>
      <c r="I490" s="382"/>
      <c r="J490" s="382"/>
    </row>
    <row r="491" ht="15.75" customHeight="1">
      <c r="A491" s="369"/>
      <c r="B491" s="370"/>
      <c r="C491" s="371"/>
      <c r="D491" s="372"/>
      <c r="E491" s="373"/>
      <c r="F491" s="374"/>
      <c r="G491" s="375"/>
      <c r="H491" s="375"/>
      <c r="I491" s="375"/>
      <c r="J491" s="375"/>
    </row>
    <row r="492" ht="15.75" customHeight="1">
      <c r="A492" s="376"/>
      <c r="B492" s="377"/>
      <c r="C492" s="378"/>
      <c r="D492" s="379"/>
      <c r="E492" s="380"/>
      <c r="F492" s="381"/>
      <c r="G492" s="382"/>
      <c r="H492" s="382"/>
      <c r="I492" s="382"/>
      <c r="J492" s="382"/>
    </row>
    <row r="493" ht="15.75" customHeight="1">
      <c r="A493" s="369"/>
      <c r="B493" s="370"/>
      <c r="C493" s="371"/>
      <c r="D493" s="372"/>
      <c r="E493" s="373"/>
      <c r="F493" s="374"/>
      <c r="G493" s="375"/>
      <c r="H493" s="375"/>
      <c r="I493" s="375"/>
      <c r="J493" s="375"/>
    </row>
    <row r="494" ht="15.75" customHeight="1">
      <c r="A494" s="376"/>
      <c r="B494" s="377"/>
      <c r="C494" s="378"/>
      <c r="D494" s="379"/>
      <c r="E494" s="380"/>
      <c r="F494" s="381"/>
      <c r="G494" s="382"/>
      <c r="H494" s="382"/>
      <c r="I494" s="382"/>
      <c r="J494" s="382"/>
    </row>
    <row r="495" ht="15.75" customHeight="1">
      <c r="A495" s="369"/>
      <c r="B495" s="370"/>
      <c r="C495" s="371"/>
      <c r="D495" s="372"/>
      <c r="E495" s="373"/>
      <c r="F495" s="374"/>
      <c r="G495" s="375"/>
      <c r="H495" s="375"/>
      <c r="I495" s="375"/>
      <c r="J495" s="375"/>
    </row>
    <row r="496" ht="15.75" customHeight="1">
      <c r="A496" s="376"/>
      <c r="B496" s="377"/>
      <c r="C496" s="378"/>
      <c r="D496" s="379"/>
      <c r="E496" s="380"/>
      <c r="F496" s="381"/>
      <c r="G496" s="382"/>
      <c r="H496" s="382"/>
      <c r="I496" s="382"/>
      <c r="J496" s="382"/>
    </row>
    <row r="497" ht="15.75" customHeight="1">
      <c r="A497" s="369"/>
      <c r="B497" s="370"/>
      <c r="C497" s="371"/>
      <c r="D497" s="372"/>
      <c r="E497" s="373"/>
      <c r="F497" s="374"/>
      <c r="G497" s="375"/>
      <c r="H497" s="375"/>
      <c r="I497" s="375"/>
      <c r="J497" s="375"/>
    </row>
    <row r="498" ht="15.75" customHeight="1">
      <c r="A498" s="376"/>
      <c r="B498" s="377"/>
      <c r="C498" s="378"/>
      <c r="D498" s="379"/>
      <c r="E498" s="380"/>
      <c r="F498" s="381"/>
      <c r="G498" s="382"/>
      <c r="H498" s="382"/>
      <c r="I498" s="382"/>
      <c r="J498" s="382"/>
    </row>
    <row r="499" ht="15.75" customHeight="1">
      <c r="A499" s="369"/>
      <c r="B499" s="370"/>
      <c r="C499" s="371"/>
      <c r="D499" s="372"/>
      <c r="E499" s="373"/>
      <c r="F499" s="374"/>
      <c r="G499" s="375"/>
      <c r="H499" s="375"/>
      <c r="I499" s="375"/>
      <c r="J499" s="375"/>
    </row>
    <row r="500" ht="15.75" customHeight="1">
      <c r="A500" s="376"/>
      <c r="B500" s="377"/>
      <c r="C500" s="378"/>
      <c r="D500" s="379"/>
      <c r="E500" s="380"/>
      <c r="F500" s="381"/>
      <c r="G500" s="382"/>
      <c r="H500" s="382"/>
      <c r="I500" s="382"/>
      <c r="J500" s="382"/>
    </row>
    <row r="501" ht="15.75" customHeight="1">
      <c r="A501" s="369"/>
      <c r="B501" s="370"/>
      <c r="C501" s="371"/>
      <c r="D501" s="372"/>
      <c r="E501" s="373"/>
      <c r="F501" s="374"/>
      <c r="G501" s="375"/>
      <c r="H501" s="375"/>
      <c r="I501" s="375"/>
      <c r="J501" s="375"/>
    </row>
    <row r="502" ht="15.75" customHeight="1">
      <c r="A502" s="376"/>
      <c r="B502" s="377"/>
      <c r="C502" s="378"/>
      <c r="D502" s="379"/>
      <c r="E502" s="380"/>
      <c r="F502" s="381"/>
      <c r="G502" s="382"/>
      <c r="H502" s="382"/>
      <c r="I502" s="382"/>
      <c r="J502" s="382"/>
    </row>
    <row r="503" ht="15.75" customHeight="1">
      <c r="A503" s="369"/>
      <c r="B503" s="370"/>
      <c r="C503" s="371"/>
      <c r="D503" s="372"/>
      <c r="E503" s="373"/>
      <c r="F503" s="374"/>
      <c r="G503" s="375"/>
      <c r="H503" s="375"/>
      <c r="I503" s="375"/>
      <c r="J503" s="375"/>
    </row>
    <row r="504" ht="15.75" customHeight="1">
      <c r="A504" s="376"/>
      <c r="B504" s="377"/>
      <c r="C504" s="378"/>
      <c r="D504" s="379"/>
      <c r="E504" s="380"/>
      <c r="F504" s="381"/>
      <c r="G504" s="382"/>
      <c r="H504" s="382"/>
      <c r="I504" s="382"/>
      <c r="J504" s="382"/>
    </row>
    <row r="505" ht="15.75" customHeight="1">
      <c r="A505" s="369"/>
      <c r="B505" s="370"/>
      <c r="C505" s="371"/>
      <c r="D505" s="372"/>
      <c r="E505" s="373"/>
      <c r="F505" s="374"/>
      <c r="G505" s="375"/>
      <c r="H505" s="375"/>
      <c r="I505" s="375"/>
      <c r="J505" s="375"/>
    </row>
    <row r="506" ht="15.75" customHeight="1">
      <c r="A506" s="376"/>
      <c r="B506" s="377"/>
      <c r="C506" s="378"/>
      <c r="D506" s="379"/>
      <c r="E506" s="380"/>
      <c r="F506" s="381"/>
      <c r="G506" s="382"/>
      <c r="H506" s="382"/>
      <c r="I506" s="382"/>
      <c r="J506" s="382"/>
    </row>
    <row r="507" ht="15.75" customHeight="1">
      <c r="A507" s="369"/>
      <c r="B507" s="370"/>
      <c r="C507" s="371"/>
      <c r="D507" s="372"/>
      <c r="E507" s="373"/>
      <c r="F507" s="374"/>
      <c r="G507" s="375"/>
      <c r="H507" s="375"/>
      <c r="I507" s="375"/>
      <c r="J507" s="375"/>
    </row>
    <row r="508" ht="15.75" customHeight="1">
      <c r="A508" s="376"/>
      <c r="B508" s="377"/>
      <c r="C508" s="378"/>
      <c r="D508" s="379"/>
      <c r="E508" s="380"/>
      <c r="F508" s="381"/>
      <c r="G508" s="382"/>
      <c r="H508" s="382"/>
      <c r="I508" s="382"/>
      <c r="J508" s="382"/>
    </row>
    <row r="509" ht="15.75" customHeight="1">
      <c r="A509" s="369"/>
      <c r="B509" s="370"/>
      <c r="C509" s="371"/>
      <c r="D509" s="372"/>
      <c r="E509" s="373"/>
      <c r="F509" s="374"/>
      <c r="G509" s="375"/>
      <c r="H509" s="375"/>
      <c r="I509" s="375"/>
      <c r="J509" s="375"/>
    </row>
    <row r="510" ht="15.75" customHeight="1">
      <c r="A510" s="376"/>
      <c r="B510" s="377"/>
      <c r="C510" s="378"/>
      <c r="D510" s="379"/>
      <c r="E510" s="380"/>
      <c r="F510" s="381"/>
      <c r="G510" s="382"/>
      <c r="H510" s="382"/>
      <c r="I510" s="382"/>
      <c r="J510" s="382"/>
    </row>
    <row r="511" ht="15.75" customHeight="1">
      <c r="A511" s="369"/>
      <c r="B511" s="370"/>
      <c r="C511" s="371"/>
      <c r="D511" s="372"/>
      <c r="E511" s="373"/>
      <c r="F511" s="374"/>
      <c r="G511" s="375"/>
      <c r="H511" s="375"/>
      <c r="I511" s="375"/>
      <c r="J511" s="375"/>
    </row>
    <row r="512" ht="15.75" customHeight="1">
      <c r="A512" s="376"/>
      <c r="B512" s="377"/>
      <c r="C512" s="378"/>
      <c r="D512" s="379"/>
      <c r="E512" s="380"/>
      <c r="F512" s="381"/>
      <c r="G512" s="382"/>
      <c r="H512" s="382"/>
      <c r="I512" s="382"/>
      <c r="J512" s="382"/>
    </row>
    <row r="513" ht="15.75" customHeight="1">
      <c r="A513" s="369"/>
      <c r="B513" s="370"/>
      <c r="C513" s="371"/>
      <c r="D513" s="372"/>
      <c r="E513" s="373"/>
      <c r="F513" s="374"/>
      <c r="G513" s="375"/>
      <c r="H513" s="375"/>
      <c r="I513" s="375"/>
      <c r="J513" s="375"/>
    </row>
    <row r="514" ht="15.75" customHeight="1">
      <c r="A514" s="376"/>
      <c r="B514" s="377"/>
      <c r="C514" s="378"/>
      <c r="D514" s="379"/>
      <c r="E514" s="380"/>
      <c r="F514" s="381"/>
      <c r="G514" s="382"/>
      <c r="H514" s="383"/>
      <c r="I514" s="383"/>
      <c r="J514" s="384"/>
    </row>
    <row r="515" ht="15.75" customHeight="1">
      <c r="A515" s="369"/>
      <c r="B515" s="370"/>
      <c r="C515" s="371"/>
      <c r="D515" s="372"/>
      <c r="E515" s="373"/>
      <c r="F515" s="374"/>
      <c r="G515" s="375"/>
      <c r="H515" s="375"/>
      <c r="I515" s="375"/>
      <c r="J515" s="375"/>
    </row>
    <row r="516" ht="15.75" customHeight="1">
      <c r="A516" s="376"/>
      <c r="B516" s="377"/>
      <c r="C516" s="378"/>
      <c r="D516" s="379"/>
      <c r="E516" s="380"/>
      <c r="F516" s="381"/>
      <c r="G516" s="382"/>
      <c r="H516" s="382"/>
      <c r="I516" s="382"/>
      <c r="J516" s="382"/>
    </row>
    <row r="517" ht="15.75" customHeight="1">
      <c r="A517" s="369"/>
      <c r="B517" s="370"/>
      <c r="C517" s="371"/>
      <c r="D517" s="372"/>
      <c r="E517" s="373"/>
      <c r="F517" s="374"/>
      <c r="G517" s="375"/>
      <c r="H517" s="375"/>
      <c r="I517" s="375"/>
      <c r="J517" s="375"/>
    </row>
    <row r="518" ht="15.75" customHeight="1">
      <c r="A518" s="376"/>
      <c r="B518" s="377"/>
      <c r="C518" s="378"/>
      <c r="D518" s="379"/>
      <c r="E518" s="380"/>
      <c r="F518" s="381"/>
      <c r="G518" s="382"/>
      <c r="H518" s="382"/>
      <c r="I518" s="382"/>
      <c r="J518" s="382"/>
    </row>
    <row r="519" ht="15.75" customHeight="1">
      <c r="A519" s="369"/>
      <c r="B519" s="370"/>
      <c r="C519" s="371"/>
      <c r="D519" s="372"/>
      <c r="E519" s="373"/>
      <c r="F519" s="374"/>
      <c r="G519" s="375"/>
      <c r="H519" s="375"/>
      <c r="I519" s="375"/>
      <c r="J519" s="375"/>
    </row>
    <row r="520" ht="15.75" customHeight="1">
      <c r="A520" s="376"/>
      <c r="B520" s="377"/>
      <c r="C520" s="378"/>
      <c r="D520" s="379"/>
      <c r="E520" s="380"/>
      <c r="F520" s="381"/>
      <c r="G520" s="382"/>
      <c r="H520" s="382"/>
      <c r="I520" s="382"/>
      <c r="J520" s="382"/>
    </row>
    <row r="521" ht="15.75" customHeight="1">
      <c r="A521" s="369"/>
      <c r="B521" s="370"/>
      <c r="C521" s="371"/>
      <c r="D521" s="372"/>
      <c r="E521" s="373"/>
      <c r="F521" s="374"/>
      <c r="G521" s="375"/>
      <c r="H521" s="375"/>
      <c r="I521" s="375"/>
      <c r="J521" s="375"/>
    </row>
    <row r="522" ht="15.75" customHeight="1">
      <c r="A522" s="376"/>
      <c r="B522" s="377"/>
      <c r="C522" s="378"/>
      <c r="D522" s="379"/>
      <c r="E522" s="380"/>
      <c r="F522" s="381"/>
      <c r="G522" s="382"/>
      <c r="H522" s="382"/>
      <c r="I522" s="382"/>
      <c r="J522" s="382"/>
    </row>
    <row r="523" ht="15.75" customHeight="1">
      <c r="A523" s="369"/>
      <c r="B523" s="370"/>
      <c r="C523" s="371"/>
      <c r="D523" s="372"/>
      <c r="E523" s="373"/>
      <c r="F523" s="374"/>
      <c r="G523" s="375"/>
      <c r="H523" s="375"/>
      <c r="I523" s="375"/>
      <c r="J523" s="375"/>
    </row>
    <row r="524" ht="15.75" customHeight="1">
      <c r="A524" s="376"/>
      <c r="B524" s="377"/>
      <c r="C524" s="378"/>
      <c r="D524" s="379"/>
      <c r="E524" s="380"/>
      <c r="F524" s="381"/>
      <c r="G524" s="382"/>
      <c r="H524" s="382"/>
      <c r="I524" s="382"/>
      <c r="J524" s="382"/>
    </row>
    <row r="525" ht="15.75" customHeight="1">
      <c r="A525" s="369"/>
      <c r="B525" s="370"/>
      <c r="C525" s="371"/>
      <c r="D525" s="372"/>
      <c r="E525" s="373"/>
      <c r="F525" s="374"/>
      <c r="G525" s="375"/>
      <c r="H525" s="375"/>
      <c r="I525" s="375"/>
      <c r="J525" s="375"/>
    </row>
    <row r="526" ht="15.75" customHeight="1">
      <c r="A526" s="376"/>
      <c r="B526" s="377"/>
      <c r="C526" s="378"/>
      <c r="D526" s="379"/>
      <c r="E526" s="380"/>
      <c r="F526" s="381"/>
      <c r="G526" s="382"/>
      <c r="H526" s="382"/>
      <c r="I526" s="382"/>
      <c r="J526" s="382"/>
    </row>
    <row r="527" ht="15.75" customHeight="1">
      <c r="A527" s="369"/>
      <c r="B527" s="370"/>
      <c r="C527" s="371"/>
      <c r="D527" s="372"/>
      <c r="E527" s="373"/>
      <c r="F527" s="374"/>
      <c r="G527" s="375"/>
      <c r="H527" s="375"/>
      <c r="I527" s="375"/>
      <c r="J527" s="375"/>
    </row>
    <row r="528" ht="15.75" customHeight="1">
      <c r="A528" s="376"/>
      <c r="B528" s="377"/>
      <c r="C528" s="378"/>
      <c r="D528" s="379"/>
      <c r="E528" s="380"/>
      <c r="F528" s="381"/>
      <c r="G528" s="382"/>
      <c r="H528" s="382"/>
      <c r="I528" s="382"/>
      <c r="J528" s="382"/>
    </row>
    <row r="529" ht="15.75" customHeight="1">
      <c r="A529" s="369"/>
      <c r="B529" s="370"/>
      <c r="C529" s="371"/>
      <c r="D529" s="372"/>
      <c r="E529" s="373"/>
      <c r="F529" s="374"/>
      <c r="G529" s="375"/>
      <c r="H529" s="375"/>
      <c r="I529" s="375"/>
      <c r="J529" s="375"/>
    </row>
    <row r="530" ht="15.75" customHeight="1">
      <c r="A530" s="376"/>
      <c r="B530" s="377"/>
      <c r="C530" s="378"/>
      <c r="D530" s="379"/>
      <c r="E530" s="380"/>
      <c r="F530" s="381"/>
      <c r="G530" s="382"/>
      <c r="H530" s="382"/>
      <c r="I530" s="382"/>
      <c r="J530" s="382"/>
    </row>
    <row r="531" ht="15.75" customHeight="1">
      <c r="A531" s="369"/>
      <c r="B531" s="370"/>
      <c r="C531" s="371"/>
      <c r="D531" s="372"/>
      <c r="E531" s="373"/>
      <c r="F531" s="374"/>
      <c r="G531" s="375"/>
      <c r="H531" s="375"/>
      <c r="I531" s="375"/>
      <c r="J531" s="375"/>
    </row>
    <row r="532" ht="15.75" customHeight="1">
      <c r="A532" s="376"/>
      <c r="B532" s="377"/>
      <c r="C532" s="378"/>
      <c r="D532" s="379"/>
      <c r="E532" s="380"/>
      <c r="F532" s="381"/>
      <c r="G532" s="382"/>
      <c r="H532" s="382"/>
      <c r="I532" s="382"/>
      <c r="J532" s="382"/>
    </row>
    <row r="533" ht="15.75" customHeight="1">
      <c r="A533" s="369"/>
      <c r="B533" s="370"/>
      <c r="C533" s="371"/>
      <c r="D533" s="372"/>
      <c r="E533" s="373"/>
      <c r="F533" s="374"/>
      <c r="G533" s="375"/>
      <c r="H533" s="375"/>
      <c r="I533" s="375"/>
      <c r="J533" s="375"/>
    </row>
    <row r="534" ht="15.75" customHeight="1">
      <c r="A534" s="376"/>
      <c r="B534" s="377"/>
      <c r="C534" s="378"/>
      <c r="D534" s="379"/>
      <c r="E534" s="380"/>
      <c r="F534" s="381"/>
      <c r="G534" s="382"/>
      <c r="H534" s="382"/>
      <c r="I534" s="382"/>
      <c r="J534" s="382"/>
    </row>
    <row r="535" ht="15.75" customHeight="1">
      <c r="A535" s="369"/>
      <c r="B535" s="370"/>
      <c r="C535" s="371"/>
      <c r="D535" s="372"/>
      <c r="E535" s="373"/>
      <c r="F535" s="374"/>
      <c r="G535" s="375"/>
      <c r="H535" s="375"/>
      <c r="I535" s="375"/>
      <c r="J535" s="375"/>
    </row>
    <row r="536" ht="15.75" customHeight="1">
      <c r="A536" s="376"/>
      <c r="B536" s="377"/>
      <c r="C536" s="378"/>
      <c r="D536" s="379"/>
      <c r="E536" s="380"/>
      <c r="F536" s="381"/>
      <c r="G536" s="382"/>
      <c r="H536" s="382"/>
      <c r="I536" s="382"/>
      <c r="J536" s="382"/>
    </row>
    <row r="537" ht="15.75" customHeight="1">
      <c r="A537" s="369"/>
      <c r="B537" s="370"/>
      <c r="C537" s="371"/>
      <c r="D537" s="372"/>
      <c r="E537" s="373"/>
      <c r="F537" s="374"/>
      <c r="G537" s="375"/>
      <c r="H537" s="375"/>
      <c r="I537" s="375"/>
      <c r="J537" s="375"/>
    </row>
    <row r="538" ht="15.75" customHeight="1">
      <c r="A538" s="376"/>
      <c r="B538" s="377"/>
      <c r="C538" s="378"/>
      <c r="D538" s="379"/>
      <c r="E538" s="380"/>
      <c r="F538" s="381"/>
      <c r="G538" s="382"/>
      <c r="H538" s="382"/>
      <c r="I538" s="382"/>
      <c r="J538" s="382"/>
    </row>
    <row r="539" ht="15.75" customHeight="1">
      <c r="A539" s="369"/>
      <c r="B539" s="370"/>
      <c r="C539" s="371"/>
      <c r="D539" s="372"/>
      <c r="E539" s="373"/>
      <c r="F539" s="374"/>
      <c r="G539" s="375"/>
      <c r="H539" s="375"/>
      <c r="I539" s="375"/>
      <c r="J539" s="375"/>
    </row>
    <row r="540" ht="15.75" customHeight="1">
      <c r="A540" s="376"/>
      <c r="B540" s="377"/>
      <c r="C540" s="378"/>
      <c r="D540" s="379"/>
      <c r="E540" s="380"/>
      <c r="F540" s="381"/>
      <c r="G540" s="382"/>
      <c r="H540" s="382"/>
      <c r="I540" s="382"/>
      <c r="J540" s="382"/>
    </row>
    <row r="541" ht="15.75" customHeight="1">
      <c r="A541" s="369"/>
      <c r="B541" s="370"/>
      <c r="C541" s="371"/>
      <c r="D541" s="372"/>
      <c r="E541" s="373"/>
      <c r="F541" s="374"/>
      <c r="G541" s="375"/>
      <c r="H541" s="375"/>
      <c r="I541" s="375"/>
      <c r="J541" s="375"/>
    </row>
    <row r="542" ht="15.75" customHeight="1">
      <c r="A542" s="376"/>
      <c r="B542" s="377"/>
      <c r="C542" s="378"/>
      <c r="D542" s="379"/>
      <c r="E542" s="380"/>
      <c r="F542" s="381"/>
      <c r="G542" s="382"/>
      <c r="H542" s="382"/>
      <c r="I542" s="382"/>
      <c r="J542" s="382"/>
    </row>
    <row r="543" ht="15.75" customHeight="1">
      <c r="A543" s="369"/>
      <c r="B543" s="370"/>
      <c r="C543" s="371"/>
      <c r="D543" s="372"/>
      <c r="E543" s="373"/>
      <c r="F543" s="374"/>
      <c r="G543" s="375"/>
      <c r="H543" s="375"/>
      <c r="I543" s="375"/>
      <c r="J543" s="375"/>
    </row>
    <row r="544" ht="6.0" customHeight="1">
      <c r="A544" s="334"/>
      <c r="B544" s="334"/>
      <c r="C544" s="335"/>
      <c r="D544" s="336"/>
      <c r="E544" s="334"/>
      <c r="F544" s="334"/>
      <c r="G544" s="334"/>
      <c r="H544" s="334"/>
      <c r="I544" s="334"/>
      <c r="J544" s="334"/>
    </row>
    <row r="545" ht="24.0" customHeight="1">
      <c r="A545" s="313" t="s">
        <v>518</v>
      </c>
      <c r="B545" s="55"/>
      <c r="C545" s="55"/>
      <c r="D545" s="55"/>
      <c r="E545" s="55"/>
      <c r="F545" s="56"/>
      <c r="G545" s="314"/>
      <c r="H545" s="315">
        <f>SUM(D546:D681)</f>
        <v>0</v>
      </c>
      <c r="I545" s="316"/>
      <c r="J545" s="317" t="str">
        <f>IF(I545&gt;0,H545/I545,"")</f>
        <v/>
      </c>
    </row>
    <row r="546" ht="15.75" customHeight="1">
      <c r="A546" s="385"/>
      <c r="B546" s="386"/>
      <c r="C546" s="387"/>
      <c r="D546" s="388"/>
      <c r="E546" s="389"/>
      <c r="F546" s="390"/>
      <c r="G546" s="391"/>
      <c r="H546" s="391"/>
      <c r="I546" s="391"/>
      <c r="J546" s="391"/>
    </row>
    <row r="547" ht="15.75" customHeight="1">
      <c r="A547" s="318"/>
      <c r="B547" s="319"/>
      <c r="C547" s="320"/>
      <c r="D547" s="321"/>
      <c r="E547" s="322"/>
      <c r="F547" s="323"/>
      <c r="G547" s="324"/>
      <c r="H547" s="324"/>
      <c r="I547" s="324"/>
      <c r="J547" s="324"/>
    </row>
    <row r="548" ht="15.75" customHeight="1">
      <c r="A548" s="385"/>
      <c r="B548" s="386"/>
      <c r="C548" s="387"/>
      <c r="D548" s="388"/>
      <c r="E548" s="389"/>
      <c r="F548" s="390"/>
      <c r="G548" s="391"/>
      <c r="H548" s="391"/>
      <c r="I548" s="391"/>
      <c r="J548" s="391"/>
    </row>
    <row r="549" ht="15.75" customHeight="1">
      <c r="A549" s="318"/>
      <c r="B549" s="319"/>
      <c r="C549" s="320"/>
      <c r="D549" s="321"/>
      <c r="E549" s="322"/>
      <c r="F549" s="323"/>
      <c r="G549" s="324"/>
      <c r="H549" s="324"/>
      <c r="I549" s="324"/>
      <c r="J549" s="324"/>
    </row>
    <row r="550" ht="15.75" customHeight="1">
      <c r="A550" s="385"/>
      <c r="B550" s="386"/>
      <c r="C550" s="387"/>
      <c r="D550" s="388"/>
      <c r="E550" s="389"/>
      <c r="F550" s="390"/>
      <c r="G550" s="391"/>
      <c r="H550" s="391"/>
      <c r="I550" s="391"/>
      <c r="J550" s="391"/>
    </row>
    <row r="551" ht="15.75" customHeight="1">
      <c r="A551" s="318"/>
      <c r="B551" s="319"/>
      <c r="C551" s="320"/>
      <c r="D551" s="321"/>
      <c r="E551" s="322"/>
      <c r="F551" s="323"/>
      <c r="G551" s="324"/>
      <c r="H551" s="324"/>
      <c r="I551" s="324"/>
      <c r="J551" s="324"/>
    </row>
    <row r="552" ht="15.75" customHeight="1">
      <c r="A552" s="385"/>
      <c r="B552" s="386"/>
      <c r="C552" s="387"/>
      <c r="D552" s="388"/>
      <c r="E552" s="389"/>
      <c r="F552" s="390"/>
      <c r="G552" s="391"/>
      <c r="H552" s="391"/>
      <c r="I552" s="391"/>
      <c r="J552" s="391"/>
    </row>
    <row r="553" ht="15.75" customHeight="1">
      <c r="A553" s="318"/>
      <c r="B553" s="319"/>
      <c r="C553" s="320"/>
      <c r="D553" s="321"/>
      <c r="E553" s="322"/>
      <c r="F553" s="323"/>
      <c r="G553" s="324"/>
      <c r="H553" s="324"/>
      <c r="I553" s="324"/>
      <c r="J553" s="324"/>
    </row>
    <row r="554" ht="15.75" customHeight="1">
      <c r="A554" s="385"/>
      <c r="B554" s="386"/>
      <c r="C554" s="387"/>
      <c r="D554" s="388"/>
      <c r="E554" s="389"/>
      <c r="F554" s="390"/>
      <c r="G554" s="391"/>
      <c r="H554" s="391"/>
      <c r="I554" s="391"/>
      <c r="J554" s="391"/>
    </row>
    <row r="555" ht="15.75" customHeight="1">
      <c r="A555" s="318"/>
      <c r="B555" s="319"/>
      <c r="C555" s="320"/>
      <c r="D555" s="321"/>
      <c r="E555" s="322"/>
      <c r="F555" s="323"/>
      <c r="G555" s="324"/>
      <c r="H555" s="324"/>
      <c r="I555" s="324"/>
      <c r="J555" s="324"/>
    </row>
    <row r="556" ht="15.75" customHeight="1">
      <c r="A556" s="385"/>
      <c r="B556" s="386"/>
      <c r="C556" s="387"/>
      <c r="D556" s="388"/>
      <c r="E556" s="389"/>
      <c r="F556" s="390"/>
      <c r="G556" s="391"/>
      <c r="H556" s="391"/>
      <c r="I556" s="391"/>
      <c r="J556" s="391"/>
    </row>
    <row r="557" ht="15.75" customHeight="1">
      <c r="A557" s="318"/>
      <c r="B557" s="319"/>
      <c r="C557" s="320"/>
      <c r="D557" s="321"/>
      <c r="E557" s="322"/>
      <c r="F557" s="323"/>
      <c r="G557" s="324"/>
      <c r="H557" s="324"/>
      <c r="I557" s="324"/>
      <c r="J557" s="324"/>
    </row>
    <row r="558" ht="15.75" customHeight="1">
      <c r="A558" s="385"/>
      <c r="B558" s="386"/>
      <c r="C558" s="387"/>
      <c r="D558" s="388"/>
      <c r="E558" s="389"/>
      <c r="F558" s="390"/>
      <c r="G558" s="391"/>
      <c r="H558" s="391"/>
      <c r="I558" s="391"/>
      <c r="J558" s="391"/>
    </row>
    <row r="559" ht="15.75" customHeight="1">
      <c r="A559" s="318"/>
      <c r="B559" s="319"/>
      <c r="C559" s="320"/>
      <c r="D559" s="321"/>
      <c r="E559" s="322"/>
      <c r="F559" s="323"/>
      <c r="G559" s="324"/>
      <c r="H559" s="324"/>
      <c r="I559" s="324"/>
      <c r="J559" s="324"/>
    </row>
    <row r="560" ht="15.75" customHeight="1">
      <c r="A560" s="385"/>
      <c r="B560" s="386"/>
      <c r="C560" s="387"/>
      <c r="D560" s="388"/>
      <c r="E560" s="389"/>
      <c r="F560" s="390"/>
      <c r="G560" s="391"/>
      <c r="H560" s="391"/>
      <c r="I560" s="391"/>
      <c r="J560" s="391"/>
    </row>
    <row r="561" ht="15.75" customHeight="1">
      <c r="A561" s="318"/>
      <c r="B561" s="319"/>
      <c r="C561" s="320"/>
      <c r="D561" s="321"/>
      <c r="E561" s="322"/>
      <c r="F561" s="323"/>
      <c r="G561" s="324"/>
      <c r="H561" s="324"/>
      <c r="I561" s="324"/>
      <c r="J561" s="324"/>
    </row>
    <row r="562" ht="15.75" customHeight="1">
      <c r="A562" s="385"/>
      <c r="B562" s="386"/>
      <c r="C562" s="387"/>
      <c r="D562" s="388"/>
      <c r="E562" s="389"/>
      <c r="F562" s="390"/>
      <c r="G562" s="391"/>
      <c r="H562" s="391"/>
      <c r="I562" s="391"/>
      <c r="J562" s="391"/>
    </row>
    <row r="563" ht="15.75" customHeight="1">
      <c r="A563" s="318"/>
      <c r="B563" s="319"/>
      <c r="C563" s="320"/>
      <c r="D563" s="321"/>
      <c r="E563" s="322"/>
      <c r="F563" s="323"/>
      <c r="G563" s="324"/>
      <c r="H563" s="324"/>
      <c r="I563" s="324"/>
      <c r="J563" s="324"/>
    </row>
    <row r="564" ht="15.75" customHeight="1">
      <c r="A564" s="385"/>
      <c r="B564" s="386"/>
      <c r="C564" s="387"/>
      <c r="D564" s="388"/>
      <c r="E564" s="389"/>
      <c r="F564" s="390"/>
      <c r="G564" s="391"/>
      <c r="H564" s="391"/>
      <c r="I564" s="391"/>
      <c r="J564" s="391"/>
    </row>
    <row r="565" ht="15.75" customHeight="1">
      <c r="A565" s="318"/>
      <c r="B565" s="319"/>
      <c r="C565" s="320"/>
      <c r="D565" s="321"/>
      <c r="E565" s="322"/>
      <c r="F565" s="323"/>
      <c r="G565" s="324"/>
      <c r="H565" s="324"/>
      <c r="I565" s="324"/>
      <c r="J565" s="324"/>
    </row>
    <row r="566" ht="15.75" customHeight="1">
      <c r="A566" s="385"/>
      <c r="B566" s="386"/>
      <c r="C566" s="387"/>
      <c r="D566" s="388"/>
      <c r="E566" s="389"/>
      <c r="F566" s="390"/>
      <c r="G566" s="391"/>
      <c r="H566" s="391"/>
      <c r="I566" s="391"/>
      <c r="J566" s="391"/>
    </row>
    <row r="567" ht="15.75" customHeight="1">
      <c r="A567" s="318"/>
      <c r="B567" s="319"/>
      <c r="C567" s="320"/>
      <c r="D567" s="321"/>
      <c r="E567" s="322"/>
      <c r="F567" s="323"/>
      <c r="G567" s="324"/>
      <c r="H567" s="324"/>
      <c r="I567" s="324"/>
      <c r="J567" s="324"/>
    </row>
    <row r="568" ht="15.75" customHeight="1">
      <c r="A568" s="385"/>
      <c r="B568" s="386"/>
      <c r="C568" s="387"/>
      <c r="D568" s="388"/>
      <c r="E568" s="389"/>
      <c r="F568" s="390"/>
      <c r="G568" s="391"/>
      <c r="H568" s="391"/>
      <c r="I568" s="391"/>
      <c r="J568" s="391"/>
    </row>
    <row r="569" ht="15.75" customHeight="1">
      <c r="A569" s="318"/>
      <c r="B569" s="319"/>
      <c r="C569" s="320"/>
      <c r="D569" s="321"/>
      <c r="E569" s="322"/>
      <c r="F569" s="323"/>
      <c r="G569" s="324"/>
      <c r="H569" s="324"/>
      <c r="I569" s="324"/>
      <c r="J569" s="324"/>
    </row>
    <row r="570" ht="15.75" customHeight="1">
      <c r="A570" s="385"/>
      <c r="B570" s="386"/>
      <c r="C570" s="387"/>
      <c r="D570" s="388"/>
      <c r="E570" s="389"/>
      <c r="F570" s="390"/>
      <c r="G570" s="391"/>
      <c r="H570" s="391"/>
      <c r="I570" s="391"/>
      <c r="J570" s="391"/>
    </row>
    <row r="571" ht="15.75" customHeight="1">
      <c r="A571" s="318"/>
      <c r="B571" s="319"/>
      <c r="C571" s="320"/>
      <c r="D571" s="321"/>
      <c r="E571" s="322"/>
      <c r="F571" s="323"/>
      <c r="G571" s="324"/>
      <c r="H571" s="324"/>
      <c r="I571" s="324"/>
      <c r="J571" s="324"/>
    </row>
    <row r="572" ht="15.75" customHeight="1">
      <c r="A572" s="385"/>
      <c r="B572" s="386"/>
      <c r="C572" s="387"/>
      <c r="D572" s="388"/>
      <c r="E572" s="389"/>
      <c r="F572" s="390"/>
      <c r="G572" s="391"/>
      <c r="H572" s="391"/>
      <c r="I572" s="391"/>
      <c r="J572" s="391"/>
    </row>
    <row r="573" ht="15.75" customHeight="1">
      <c r="A573" s="318"/>
      <c r="B573" s="319"/>
      <c r="C573" s="320"/>
      <c r="D573" s="321"/>
      <c r="E573" s="322"/>
      <c r="F573" s="323"/>
      <c r="G573" s="324"/>
      <c r="H573" s="324"/>
      <c r="I573" s="324"/>
      <c r="J573" s="324"/>
    </row>
    <row r="574" ht="15.75" customHeight="1">
      <c r="A574" s="385"/>
      <c r="B574" s="386"/>
      <c r="C574" s="387"/>
      <c r="D574" s="388"/>
      <c r="E574" s="389"/>
      <c r="F574" s="390"/>
      <c r="G574" s="391"/>
      <c r="H574" s="391"/>
      <c r="I574" s="391"/>
      <c r="J574" s="391"/>
    </row>
    <row r="575" ht="15.75" customHeight="1">
      <c r="A575" s="318"/>
      <c r="B575" s="319"/>
      <c r="C575" s="320"/>
      <c r="D575" s="321"/>
      <c r="E575" s="322"/>
      <c r="F575" s="323"/>
      <c r="G575" s="324"/>
      <c r="H575" s="324"/>
      <c r="I575" s="324"/>
      <c r="J575" s="324"/>
    </row>
    <row r="576" ht="15.75" customHeight="1">
      <c r="A576" s="385"/>
      <c r="B576" s="386"/>
      <c r="C576" s="387"/>
      <c r="D576" s="388"/>
      <c r="E576" s="389"/>
      <c r="F576" s="390"/>
      <c r="G576" s="391"/>
      <c r="H576" s="391"/>
      <c r="I576" s="391"/>
      <c r="J576" s="391"/>
    </row>
    <row r="577" ht="15.75" customHeight="1">
      <c r="A577" s="318"/>
      <c r="B577" s="319"/>
      <c r="C577" s="320"/>
      <c r="D577" s="321"/>
      <c r="E577" s="322"/>
      <c r="F577" s="323"/>
      <c r="G577" s="324"/>
      <c r="H577" s="324"/>
      <c r="I577" s="324"/>
      <c r="J577" s="324"/>
    </row>
    <row r="578" ht="15.75" customHeight="1">
      <c r="A578" s="385"/>
      <c r="B578" s="386"/>
      <c r="C578" s="387"/>
      <c r="D578" s="388"/>
      <c r="E578" s="389"/>
      <c r="F578" s="390"/>
      <c r="G578" s="391"/>
      <c r="H578" s="391"/>
      <c r="I578" s="391"/>
      <c r="J578" s="391"/>
    </row>
    <row r="579" ht="15.75" customHeight="1">
      <c r="A579" s="318"/>
      <c r="B579" s="319"/>
      <c r="C579" s="320"/>
      <c r="D579" s="321"/>
      <c r="E579" s="322"/>
      <c r="F579" s="323"/>
      <c r="G579" s="324"/>
      <c r="H579" s="324"/>
      <c r="I579" s="324"/>
      <c r="J579" s="324"/>
    </row>
    <row r="580" ht="15.75" customHeight="1">
      <c r="A580" s="385"/>
      <c r="B580" s="386"/>
      <c r="C580" s="387"/>
      <c r="D580" s="388"/>
      <c r="E580" s="389"/>
      <c r="F580" s="390"/>
      <c r="G580" s="391"/>
      <c r="H580" s="391"/>
      <c r="I580" s="391"/>
      <c r="J580" s="391"/>
    </row>
    <row r="581" ht="15.75" customHeight="1">
      <c r="A581" s="318"/>
      <c r="B581" s="319"/>
      <c r="C581" s="320"/>
      <c r="D581" s="321"/>
      <c r="E581" s="322"/>
      <c r="F581" s="323"/>
      <c r="G581" s="324"/>
      <c r="H581" s="324"/>
      <c r="I581" s="324"/>
      <c r="J581" s="324"/>
    </row>
    <row r="582" ht="15.75" customHeight="1">
      <c r="A582" s="385"/>
      <c r="B582" s="386"/>
      <c r="C582" s="387"/>
      <c r="D582" s="388"/>
      <c r="E582" s="389"/>
      <c r="F582" s="390"/>
      <c r="G582" s="391"/>
      <c r="H582" s="391"/>
      <c r="I582" s="391"/>
      <c r="J582" s="391"/>
    </row>
    <row r="583" ht="15.75" customHeight="1">
      <c r="A583" s="318"/>
      <c r="B583" s="319"/>
      <c r="C583" s="320"/>
      <c r="D583" s="321"/>
      <c r="E583" s="322"/>
      <c r="F583" s="323"/>
      <c r="G583" s="324"/>
      <c r="H583" s="324"/>
      <c r="I583" s="324"/>
      <c r="J583" s="324"/>
    </row>
    <row r="584" ht="15.75" customHeight="1">
      <c r="A584" s="385"/>
      <c r="B584" s="386"/>
      <c r="C584" s="387"/>
      <c r="D584" s="388"/>
      <c r="E584" s="389"/>
      <c r="F584" s="390"/>
      <c r="G584" s="391"/>
      <c r="H584" s="391"/>
      <c r="I584" s="391"/>
      <c r="J584" s="391"/>
    </row>
    <row r="585" ht="15.75" customHeight="1">
      <c r="A585" s="318"/>
      <c r="B585" s="319"/>
      <c r="C585" s="320"/>
      <c r="D585" s="321"/>
      <c r="E585" s="322"/>
      <c r="F585" s="323"/>
      <c r="G585" s="324"/>
      <c r="H585" s="324"/>
      <c r="I585" s="324"/>
      <c r="J585" s="324"/>
    </row>
    <row r="586" ht="15.75" customHeight="1">
      <c r="A586" s="385"/>
      <c r="B586" s="386"/>
      <c r="C586" s="387"/>
      <c r="D586" s="388"/>
      <c r="E586" s="389"/>
      <c r="F586" s="390"/>
      <c r="G586" s="391"/>
      <c r="H586" s="391"/>
      <c r="I586" s="391"/>
      <c r="J586" s="391"/>
    </row>
    <row r="587" ht="15.75" customHeight="1">
      <c r="A587" s="318"/>
      <c r="B587" s="319"/>
      <c r="C587" s="320"/>
      <c r="D587" s="321"/>
      <c r="E587" s="322"/>
      <c r="F587" s="323"/>
      <c r="G587" s="324"/>
      <c r="H587" s="324"/>
      <c r="I587" s="324"/>
      <c r="J587" s="324"/>
    </row>
    <row r="588" ht="15.75" customHeight="1">
      <c r="A588" s="385"/>
      <c r="B588" s="386"/>
      <c r="C588" s="387"/>
      <c r="D588" s="388"/>
      <c r="E588" s="389"/>
      <c r="F588" s="390"/>
      <c r="G588" s="391"/>
      <c r="H588" s="391"/>
      <c r="I588" s="391"/>
      <c r="J588" s="391"/>
    </row>
    <row r="589" ht="15.75" customHeight="1">
      <c r="A589" s="318"/>
      <c r="B589" s="319"/>
      <c r="C589" s="320"/>
      <c r="D589" s="321"/>
      <c r="E589" s="322"/>
      <c r="F589" s="323"/>
      <c r="G589" s="324"/>
      <c r="H589" s="324"/>
      <c r="I589" s="324"/>
      <c r="J589" s="324"/>
    </row>
    <row r="590" ht="15.75" customHeight="1">
      <c r="A590" s="385"/>
      <c r="B590" s="386"/>
      <c r="C590" s="387"/>
      <c r="D590" s="388"/>
      <c r="E590" s="389"/>
      <c r="F590" s="390"/>
      <c r="G590" s="391"/>
      <c r="H590" s="391"/>
      <c r="I590" s="391"/>
      <c r="J590" s="391"/>
    </row>
    <row r="591" ht="15.75" customHeight="1">
      <c r="A591" s="318"/>
      <c r="B591" s="319"/>
      <c r="C591" s="320"/>
      <c r="D591" s="321"/>
      <c r="E591" s="322"/>
      <c r="F591" s="323"/>
      <c r="G591" s="324"/>
      <c r="H591" s="324"/>
      <c r="I591" s="324"/>
      <c r="J591" s="324"/>
    </row>
    <row r="592" ht="15.75" customHeight="1">
      <c r="A592" s="385"/>
      <c r="B592" s="386"/>
      <c r="C592" s="387"/>
      <c r="D592" s="388"/>
      <c r="E592" s="389"/>
      <c r="F592" s="390"/>
      <c r="G592" s="391"/>
      <c r="H592" s="391"/>
      <c r="I592" s="391"/>
      <c r="J592" s="391"/>
    </row>
    <row r="593" ht="15.75" customHeight="1">
      <c r="A593" s="318"/>
      <c r="B593" s="319"/>
      <c r="C593" s="320"/>
      <c r="D593" s="321"/>
      <c r="E593" s="322"/>
      <c r="F593" s="323"/>
      <c r="G593" s="324"/>
      <c r="H593" s="324"/>
      <c r="I593" s="324"/>
      <c r="J593" s="324"/>
    </row>
    <row r="594" ht="15.75" customHeight="1">
      <c r="A594" s="385"/>
      <c r="B594" s="386"/>
      <c r="C594" s="387"/>
      <c r="D594" s="388"/>
      <c r="E594" s="389"/>
      <c r="F594" s="390"/>
      <c r="G594" s="391"/>
      <c r="H594" s="391"/>
      <c r="I594" s="391"/>
      <c r="J594" s="391"/>
    </row>
    <row r="595" ht="15.75" customHeight="1">
      <c r="A595" s="318"/>
      <c r="B595" s="319"/>
      <c r="C595" s="320"/>
      <c r="D595" s="321"/>
      <c r="E595" s="322"/>
      <c r="F595" s="323"/>
      <c r="G595" s="324"/>
      <c r="H595" s="324"/>
      <c r="I595" s="324"/>
      <c r="J595" s="324"/>
    </row>
    <row r="596" ht="15.75" customHeight="1">
      <c r="A596" s="385"/>
      <c r="B596" s="386"/>
      <c r="C596" s="387"/>
      <c r="D596" s="388"/>
      <c r="E596" s="389"/>
      <c r="F596" s="390"/>
      <c r="G596" s="391"/>
      <c r="H596" s="391"/>
      <c r="I596" s="391"/>
      <c r="J596" s="391"/>
    </row>
    <row r="597" ht="15.75" customHeight="1">
      <c r="A597" s="318"/>
      <c r="B597" s="319"/>
      <c r="C597" s="320"/>
      <c r="D597" s="321"/>
      <c r="E597" s="322"/>
      <c r="F597" s="323"/>
      <c r="G597" s="324"/>
      <c r="H597" s="324"/>
      <c r="I597" s="324"/>
      <c r="J597" s="324"/>
    </row>
    <row r="598" ht="15.75" customHeight="1">
      <c r="A598" s="385"/>
      <c r="B598" s="386"/>
      <c r="C598" s="387"/>
      <c r="D598" s="388"/>
      <c r="E598" s="389"/>
      <c r="F598" s="390"/>
      <c r="G598" s="391"/>
      <c r="H598" s="391"/>
      <c r="I598" s="391"/>
      <c r="J598" s="391"/>
    </row>
    <row r="599" ht="15.75" customHeight="1">
      <c r="A599" s="318"/>
      <c r="B599" s="319"/>
      <c r="C599" s="320"/>
      <c r="D599" s="321"/>
      <c r="E599" s="322"/>
      <c r="F599" s="323"/>
      <c r="G599" s="324"/>
      <c r="H599" s="324"/>
      <c r="I599" s="324"/>
      <c r="J599" s="324"/>
    </row>
    <row r="600" ht="15.75" customHeight="1">
      <c r="A600" s="385"/>
      <c r="B600" s="386"/>
      <c r="C600" s="387"/>
      <c r="D600" s="388"/>
      <c r="E600" s="389"/>
      <c r="F600" s="390"/>
      <c r="G600" s="391"/>
      <c r="H600" s="391"/>
      <c r="I600" s="391"/>
      <c r="J600" s="391"/>
    </row>
    <row r="601" ht="15.75" customHeight="1">
      <c r="A601" s="318"/>
      <c r="B601" s="319"/>
      <c r="C601" s="320"/>
      <c r="D601" s="321"/>
      <c r="E601" s="322"/>
      <c r="F601" s="323"/>
      <c r="G601" s="324"/>
      <c r="H601" s="324"/>
      <c r="I601" s="324"/>
      <c r="J601" s="324"/>
    </row>
    <row r="602" ht="15.75" customHeight="1">
      <c r="A602" s="385"/>
      <c r="B602" s="386"/>
      <c r="C602" s="387"/>
      <c r="D602" s="388"/>
      <c r="E602" s="389"/>
      <c r="F602" s="390"/>
      <c r="G602" s="391"/>
      <c r="H602" s="391"/>
      <c r="I602" s="391"/>
      <c r="J602" s="391"/>
    </row>
    <row r="603" ht="15.75" customHeight="1">
      <c r="A603" s="318"/>
      <c r="B603" s="319"/>
      <c r="C603" s="320"/>
      <c r="D603" s="321"/>
      <c r="E603" s="322"/>
      <c r="F603" s="323"/>
      <c r="G603" s="324"/>
      <c r="H603" s="324"/>
      <c r="I603" s="324"/>
      <c r="J603" s="324"/>
    </row>
    <row r="604" ht="15.75" customHeight="1">
      <c r="A604" s="385"/>
      <c r="B604" s="386"/>
      <c r="C604" s="387"/>
      <c r="D604" s="388"/>
      <c r="E604" s="389"/>
      <c r="F604" s="390"/>
      <c r="G604" s="391"/>
      <c r="H604" s="391"/>
      <c r="I604" s="391"/>
      <c r="J604" s="391"/>
    </row>
    <row r="605" ht="15.75" customHeight="1">
      <c r="A605" s="318"/>
      <c r="B605" s="319"/>
      <c r="C605" s="320"/>
      <c r="D605" s="321"/>
      <c r="E605" s="322"/>
      <c r="F605" s="323"/>
      <c r="G605" s="324"/>
      <c r="H605" s="324"/>
      <c r="I605" s="324"/>
      <c r="J605" s="324"/>
    </row>
    <row r="606" ht="15.75" customHeight="1">
      <c r="A606" s="385"/>
      <c r="B606" s="386"/>
      <c r="C606" s="387"/>
      <c r="D606" s="388"/>
      <c r="E606" s="389"/>
      <c r="F606" s="390"/>
      <c r="G606" s="391"/>
      <c r="H606" s="391"/>
      <c r="I606" s="391"/>
      <c r="J606" s="391"/>
    </row>
    <row r="607" ht="15.75" customHeight="1">
      <c r="A607" s="318"/>
      <c r="B607" s="319"/>
      <c r="C607" s="320"/>
      <c r="D607" s="321"/>
      <c r="E607" s="322"/>
      <c r="F607" s="323"/>
      <c r="G607" s="324"/>
      <c r="H607" s="324"/>
      <c r="I607" s="324"/>
      <c r="J607" s="324"/>
    </row>
    <row r="608" ht="15.75" customHeight="1">
      <c r="A608" s="385"/>
      <c r="B608" s="386"/>
      <c r="C608" s="387"/>
      <c r="D608" s="388"/>
      <c r="E608" s="389"/>
      <c r="F608" s="390"/>
      <c r="G608" s="391"/>
      <c r="H608" s="391"/>
      <c r="I608" s="391"/>
      <c r="J608" s="391"/>
    </row>
    <row r="609" ht="15.75" customHeight="1">
      <c r="A609" s="318"/>
      <c r="B609" s="319"/>
      <c r="C609" s="320"/>
      <c r="D609" s="321"/>
      <c r="E609" s="322"/>
      <c r="F609" s="323"/>
      <c r="G609" s="324"/>
      <c r="H609" s="324"/>
      <c r="I609" s="324"/>
      <c r="J609" s="324"/>
    </row>
    <row r="610" ht="15.75" customHeight="1">
      <c r="A610" s="385"/>
      <c r="B610" s="386"/>
      <c r="C610" s="387"/>
      <c r="D610" s="388"/>
      <c r="E610" s="389"/>
      <c r="F610" s="390"/>
      <c r="G610" s="391"/>
      <c r="H610" s="391"/>
      <c r="I610" s="391"/>
      <c r="J610" s="391"/>
    </row>
    <row r="611" ht="15.75" customHeight="1">
      <c r="A611" s="318"/>
      <c r="B611" s="319"/>
      <c r="C611" s="320"/>
      <c r="D611" s="321"/>
      <c r="E611" s="322"/>
      <c r="F611" s="323"/>
      <c r="G611" s="324"/>
      <c r="H611" s="324"/>
      <c r="I611" s="324"/>
      <c r="J611" s="324"/>
    </row>
    <row r="612" ht="15.75" customHeight="1">
      <c r="A612" s="385"/>
      <c r="B612" s="386"/>
      <c r="C612" s="387"/>
      <c r="D612" s="388"/>
      <c r="E612" s="389"/>
      <c r="F612" s="390"/>
      <c r="G612" s="391"/>
      <c r="H612" s="391"/>
      <c r="I612" s="391"/>
      <c r="J612" s="391"/>
    </row>
    <row r="613" ht="15.75" customHeight="1">
      <c r="A613" s="318"/>
      <c r="B613" s="319"/>
      <c r="C613" s="320"/>
      <c r="D613" s="321"/>
      <c r="E613" s="322"/>
      <c r="F613" s="323"/>
      <c r="G613" s="324"/>
      <c r="H613" s="324"/>
      <c r="I613" s="324"/>
      <c r="J613" s="324"/>
    </row>
    <row r="614" ht="15.75" customHeight="1">
      <c r="A614" s="385"/>
      <c r="B614" s="386"/>
      <c r="C614" s="387"/>
      <c r="D614" s="388"/>
      <c r="E614" s="389"/>
      <c r="F614" s="390"/>
      <c r="G614" s="391"/>
      <c r="H614" s="391"/>
      <c r="I614" s="391"/>
      <c r="J614" s="391"/>
    </row>
    <row r="615" ht="15.75" customHeight="1">
      <c r="A615" s="318"/>
      <c r="B615" s="319"/>
      <c r="C615" s="320"/>
      <c r="D615" s="321"/>
      <c r="E615" s="322"/>
      <c r="F615" s="323"/>
      <c r="G615" s="324"/>
      <c r="H615" s="324"/>
      <c r="I615" s="324"/>
      <c r="J615" s="324"/>
    </row>
    <row r="616" ht="15.75" customHeight="1">
      <c r="A616" s="385"/>
      <c r="B616" s="386"/>
      <c r="C616" s="387"/>
      <c r="D616" s="388"/>
      <c r="E616" s="389"/>
      <c r="F616" s="390"/>
      <c r="G616" s="391"/>
      <c r="H616" s="391"/>
      <c r="I616" s="391"/>
      <c r="J616" s="391"/>
    </row>
    <row r="617" ht="15.75" customHeight="1">
      <c r="A617" s="318"/>
      <c r="B617" s="319"/>
      <c r="C617" s="320"/>
      <c r="D617" s="321"/>
      <c r="E617" s="322"/>
      <c r="F617" s="323"/>
      <c r="G617" s="324"/>
      <c r="H617" s="324"/>
      <c r="I617" s="324"/>
      <c r="J617" s="324"/>
    </row>
    <row r="618" ht="15.75" customHeight="1">
      <c r="A618" s="385"/>
      <c r="B618" s="386"/>
      <c r="C618" s="387"/>
      <c r="D618" s="388"/>
      <c r="E618" s="389"/>
      <c r="F618" s="390"/>
      <c r="G618" s="391"/>
      <c r="H618" s="391"/>
      <c r="I618" s="391"/>
      <c r="J618" s="391"/>
    </row>
    <row r="619" ht="15.75" customHeight="1">
      <c r="A619" s="318"/>
      <c r="B619" s="319"/>
      <c r="C619" s="320"/>
      <c r="D619" s="321"/>
      <c r="E619" s="322"/>
      <c r="F619" s="323"/>
      <c r="G619" s="324"/>
      <c r="H619" s="324"/>
      <c r="I619" s="324"/>
      <c r="J619" s="324"/>
    </row>
    <row r="620" ht="15.75" customHeight="1">
      <c r="A620" s="385"/>
      <c r="B620" s="386"/>
      <c r="C620" s="387"/>
      <c r="D620" s="388"/>
      <c r="E620" s="389"/>
      <c r="F620" s="390"/>
      <c r="G620" s="391"/>
      <c r="H620" s="391"/>
      <c r="I620" s="391"/>
      <c r="J620" s="391"/>
    </row>
    <row r="621" ht="15.75" customHeight="1">
      <c r="A621" s="318"/>
      <c r="B621" s="319"/>
      <c r="C621" s="320"/>
      <c r="D621" s="321"/>
      <c r="E621" s="322"/>
      <c r="F621" s="323"/>
      <c r="G621" s="324"/>
      <c r="H621" s="324"/>
      <c r="I621" s="324"/>
      <c r="J621" s="324"/>
    </row>
    <row r="622" ht="15.75" customHeight="1">
      <c r="A622" s="385"/>
      <c r="B622" s="386"/>
      <c r="C622" s="387"/>
      <c r="D622" s="388"/>
      <c r="E622" s="389"/>
      <c r="F622" s="390"/>
      <c r="G622" s="391"/>
      <c r="H622" s="391"/>
      <c r="I622" s="391"/>
      <c r="J622" s="391"/>
    </row>
    <row r="623" ht="15.75" customHeight="1">
      <c r="A623" s="318"/>
      <c r="B623" s="319"/>
      <c r="C623" s="320"/>
      <c r="D623" s="321"/>
      <c r="E623" s="322"/>
      <c r="F623" s="323"/>
      <c r="G623" s="324"/>
      <c r="H623" s="324"/>
      <c r="I623" s="324"/>
      <c r="J623" s="324"/>
    </row>
    <row r="624" ht="15.75" customHeight="1">
      <c r="A624" s="385"/>
      <c r="B624" s="386"/>
      <c r="C624" s="387"/>
      <c r="D624" s="388"/>
      <c r="E624" s="389"/>
      <c r="F624" s="390"/>
      <c r="G624" s="391"/>
      <c r="H624" s="391"/>
      <c r="I624" s="391"/>
      <c r="J624" s="391"/>
    </row>
    <row r="625" ht="15.75" customHeight="1">
      <c r="A625" s="318"/>
      <c r="B625" s="319"/>
      <c r="C625" s="320"/>
      <c r="D625" s="321"/>
      <c r="E625" s="322"/>
      <c r="F625" s="323"/>
      <c r="G625" s="324"/>
      <c r="H625" s="324"/>
      <c r="I625" s="324"/>
      <c r="J625" s="324"/>
    </row>
    <row r="626" ht="15.75" customHeight="1">
      <c r="A626" s="385"/>
      <c r="B626" s="386"/>
      <c r="C626" s="387"/>
      <c r="D626" s="388"/>
      <c r="E626" s="389"/>
      <c r="F626" s="390"/>
      <c r="G626" s="391"/>
      <c r="H626" s="391"/>
      <c r="I626" s="391"/>
      <c r="J626" s="391"/>
    </row>
    <row r="627" ht="15.75" customHeight="1">
      <c r="A627" s="318"/>
      <c r="B627" s="319"/>
      <c r="C627" s="320"/>
      <c r="D627" s="321"/>
      <c r="E627" s="322"/>
      <c r="F627" s="323"/>
      <c r="G627" s="324"/>
      <c r="H627" s="324"/>
      <c r="I627" s="324"/>
      <c r="J627" s="324"/>
    </row>
    <row r="628" ht="15.75" customHeight="1">
      <c r="A628" s="385"/>
      <c r="B628" s="386"/>
      <c r="C628" s="387"/>
      <c r="D628" s="388"/>
      <c r="E628" s="389"/>
      <c r="F628" s="390"/>
      <c r="G628" s="391"/>
      <c r="H628" s="391"/>
      <c r="I628" s="391"/>
      <c r="J628" s="391"/>
    </row>
    <row r="629" ht="15.75" customHeight="1">
      <c r="A629" s="318"/>
      <c r="B629" s="319"/>
      <c r="C629" s="320"/>
      <c r="D629" s="321"/>
      <c r="E629" s="322"/>
      <c r="F629" s="323"/>
      <c r="G629" s="324"/>
      <c r="H629" s="324"/>
      <c r="I629" s="324"/>
      <c r="J629" s="324"/>
    </row>
    <row r="630" ht="15.75" customHeight="1">
      <c r="A630" s="385"/>
      <c r="B630" s="386"/>
      <c r="C630" s="387"/>
      <c r="D630" s="388"/>
      <c r="E630" s="389"/>
      <c r="F630" s="390"/>
      <c r="G630" s="391"/>
      <c r="H630" s="391"/>
      <c r="I630" s="391"/>
      <c r="J630" s="391"/>
    </row>
    <row r="631" ht="15.75" customHeight="1">
      <c r="A631" s="318"/>
      <c r="B631" s="319"/>
      <c r="C631" s="320"/>
      <c r="D631" s="321"/>
      <c r="E631" s="322"/>
      <c r="F631" s="323"/>
      <c r="G631" s="324"/>
      <c r="H631" s="324"/>
      <c r="I631" s="324"/>
      <c r="J631" s="324"/>
    </row>
    <row r="632" ht="15.75" customHeight="1">
      <c r="A632" s="385"/>
      <c r="B632" s="386"/>
      <c r="C632" s="387"/>
      <c r="D632" s="388"/>
      <c r="E632" s="389"/>
      <c r="F632" s="390"/>
      <c r="G632" s="391"/>
      <c r="H632" s="391"/>
      <c r="I632" s="391"/>
      <c r="J632" s="391"/>
    </row>
    <row r="633" ht="15.75" customHeight="1">
      <c r="A633" s="318"/>
      <c r="B633" s="319"/>
      <c r="C633" s="320"/>
      <c r="D633" s="321"/>
      <c r="E633" s="322"/>
      <c r="F633" s="323"/>
      <c r="G633" s="324"/>
      <c r="H633" s="324"/>
      <c r="I633" s="324"/>
      <c r="J633" s="324"/>
    </row>
    <row r="634" ht="15.75" customHeight="1">
      <c r="A634" s="385"/>
      <c r="B634" s="386"/>
      <c r="C634" s="387"/>
      <c r="D634" s="388"/>
      <c r="E634" s="389"/>
      <c r="F634" s="390"/>
      <c r="G634" s="391"/>
      <c r="H634" s="391"/>
      <c r="I634" s="391"/>
      <c r="J634" s="391"/>
    </row>
    <row r="635" ht="15.75" customHeight="1">
      <c r="A635" s="318"/>
      <c r="B635" s="319"/>
      <c r="C635" s="320"/>
      <c r="D635" s="321"/>
      <c r="E635" s="322"/>
      <c r="F635" s="323"/>
      <c r="G635" s="324"/>
      <c r="H635" s="324"/>
      <c r="I635" s="324"/>
      <c r="J635" s="324"/>
    </row>
    <row r="636" ht="15.75" customHeight="1">
      <c r="A636" s="385"/>
      <c r="B636" s="386"/>
      <c r="C636" s="387"/>
      <c r="D636" s="388"/>
      <c r="E636" s="389"/>
      <c r="F636" s="390"/>
      <c r="G636" s="391"/>
      <c r="H636" s="391"/>
      <c r="I636" s="391"/>
      <c r="J636" s="391"/>
    </row>
    <row r="637" ht="15.75" customHeight="1">
      <c r="A637" s="318"/>
      <c r="B637" s="319"/>
      <c r="C637" s="320"/>
      <c r="D637" s="321"/>
      <c r="E637" s="322"/>
      <c r="F637" s="323"/>
      <c r="G637" s="324"/>
      <c r="H637" s="324"/>
      <c r="I637" s="324"/>
      <c r="J637" s="324"/>
    </row>
    <row r="638" ht="15.75" customHeight="1">
      <c r="A638" s="385"/>
      <c r="B638" s="386"/>
      <c r="C638" s="387"/>
      <c r="D638" s="388"/>
      <c r="E638" s="389"/>
      <c r="F638" s="390"/>
      <c r="G638" s="391"/>
      <c r="H638" s="391"/>
      <c r="I638" s="391"/>
      <c r="J638" s="391"/>
    </row>
    <row r="639" ht="15.75" customHeight="1">
      <c r="A639" s="318"/>
      <c r="B639" s="319"/>
      <c r="C639" s="320"/>
      <c r="D639" s="321"/>
      <c r="E639" s="322"/>
      <c r="F639" s="323"/>
      <c r="G639" s="324"/>
      <c r="H639" s="324"/>
      <c r="I639" s="324"/>
      <c r="J639" s="324"/>
    </row>
    <row r="640" ht="15.75" customHeight="1">
      <c r="A640" s="385"/>
      <c r="B640" s="386"/>
      <c r="C640" s="387"/>
      <c r="D640" s="388"/>
      <c r="E640" s="389"/>
      <c r="F640" s="390"/>
      <c r="G640" s="391"/>
      <c r="H640" s="391"/>
      <c r="I640" s="391"/>
      <c r="J640" s="391"/>
    </row>
    <row r="641" ht="15.75" customHeight="1">
      <c r="A641" s="318"/>
      <c r="B641" s="319"/>
      <c r="C641" s="320"/>
      <c r="D641" s="321"/>
      <c r="E641" s="322"/>
      <c r="F641" s="323"/>
      <c r="G641" s="324"/>
      <c r="H641" s="324"/>
      <c r="I641" s="324"/>
      <c r="J641" s="324"/>
    </row>
    <row r="642" ht="15.75" customHeight="1">
      <c r="A642" s="385"/>
      <c r="B642" s="386"/>
      <c r="C642" s="387"/>
      <c r="D642" s="388"/>
      <c r="E642" s="389"/>
      <c r="F642" s="390"/>
      <c r="G642" s="391"/>
      <c r="H642" s="391"/>
      <c r="I642" s="391"/>
      <c r="J642" s="391"/>
    </row>
    <row r="643" ht="15.75" customHeight="1">
      <c r="A643" s="318"/>
      <c r="B643" s="319"/>
      <c r="C643" s="320"/>
      <c r="D643" s="321"/>
      <c r="E643" s="322"/>
      <c r="F643" s="323"/>
      <c r="G643" s="324"/>
      <c r="H643" s="324"/>
      <c r="I643" s="324"/>
      <c r="J643" s="324"/>
    </row>
    <row r="644" ht="15.75" customHeight="1">
      <c r="A644" s="385"/>
      <c r="B644" s="386"/>
      <c r="C644" s="387"/>
      <c r="D644" s="388"/>
      <c r="E644" s="389"/>
      <c r="F644" s="390"/>
      <c r="G644" s="391"/>
      <c r="H644" s="391"/>
      <c r="I644" s="391"/>
      <c r="J644" s="391"/>
    </row>
    <row r="645" ht="15.75" customHeight="1">
      <c r="A645" s="318"/>
      <c r="B645" s="319"/>
      <c r="C645" s="320"/>
      <c r="D645" s="321"/>
      <c r="E645" s="322"/>
      <c r="F645" s="323"/>
      <c r="G645" s="324"/>
      <c r="H645" s="324"/>
      <c r="I645" s="324"/>
      <c r="J645" s="324"/>
    </row>
    <row r="646" ht="15.75" customHeight="1">
      <c r="A646" s="385"/>
      <c r="B646" s="386"/>
      <c r="C646" s="387"/>
      <c r="D646" s="388"/>
      <c r="E646" s="389"/>
      <c r="F646" s="390"/>
      <c r="G646" s="391"/>
      <c r="H646" s="391"/>
      <c r="I646" s="391"/>
      <c r="J646" s="391"/>
    </row>
    <row r="647" ht="15.75" customHeight="1">
      <c r="A647" s="318"/>
      <c r="B647" s="319"/>
      <c r="C647" s="320"/>
      <c r="D647" s="321"/>
      <c r="E647" s="322"/>
      <c r="F647" s="323"/>
      <c r="G647" s="324"/>
      <c r="H647" s="324"/>
      <c r="I647" s="324"/>
      <c r="J647" s="324"/>
    </row>
    <row r="648" ht="15.75" customHeight="1">
      <c r="A648" s="385"/>
      <c r="B648" s="386"/>
      <c r="C648" s="387"/>
      <c r="D648" s="388"/>
      <c r="E648" s="389"/>
      <c r="F648" s="390"/>
      <c r="G648" s="391"/>
      <c r="H648" s="391"/>
      <c r="I648" s="391"/>
      <c r="J648" s="391"/>
    </row>
    <row r="649" ht="15.75" customHeight="1">
      <c r="A649" s="318"/>
      <c r="B649" s="319"/>
      <c r="C649" s="320"/>
      <c r="D649" s="321"/>
      <c r="E649" s="322"/>
      <c r="F649" s="323"/>
      <c r="G649" s="324"/>
      <c r="H649" s="324"/>
      <c r="I649" s="324"/>
      <c r="J649" s="324"/>
    </row>
    <row r="650" ht="15.75" customHeight="1">
      <c r="A650" s="385"/>
      <c r="B650" s="386"/>
      <c r="C650" s="387"/>
      <c r="D650" s="388"/>
      <c r="E650" s="389"/>
      <c r="F650" s="390"/>
      <c r="G650" s="391"/>
      <c r="H650" s="391"/>
      <c r="I650" s="391"/>
      <c r="J650" s="391"/>
    </row>
    <row r="651" ht="15.75" customHeight="1">
      <c r="A651" s="318"/>
      <c r="B651" s="319"/>
      <c r="C651" s="320"/>
      <c r="D651" s="321"/>
      <c r="E651" s="322"/>
      <c r="F651" s="323"/>
      <c r="G651" s="324"/>
      <c r="H651" s="392"/>
      <c r="I651" s="392"/>
      <c r="J651" s="393"/>
    </row>
    <row r="652" ht="15.75" customHeight="1">
      <c r="A652" s="385"/>
      <c r="B652" s="386"/>
      <c r="C652" s="387"/>
      <c r="D652" s="388"/>
      <c r="E652" s="389"/>
      <c r="F652" s="390"/>
      <c r="G652" s="391"/>
      <c r="H652" s="391"/>
      <c r="I652" s="391"/>
      <c r="J652" s="391"/>
    </row>
    <row r="653" ht="15.75" customHeight="1">
      <c r="A653" s="318"/>
      <c r="B653" s="319"/>
      <c r="C653" s="320"/>
      <c r="D653" s="321"/>
      <c r="E653" s="322"/>
      <c r="F653" s="323"/>
      <c r="G653" s="324"/>
      <c r="H653" s="324"/>
      <c r="I653" s="324"/>
      <c r="J653" s="324"/>
    </row>
    <row r="654" ht="15.75" customHeight="1">
      <c r="A654" s="385"/>
      <c r="B654" s="386"/>
      <c r="C654" s="387"/>
      <c r="D654" s="388"/>
      <c r="E654" s="389"/>
      <c r="F654" s="390"/>
      <c r="G654" s="391"/>
      <c r="H654" s="391"/>
      <c r="I654" s="391"/>
      <c r="J654" s="391"/>
    </row>
    <row r="655" ht="15.75" customHeight="1">
      <c r="A655" s="318"/>
      <c r="B655" s="319"/>
      <c r="C655" s="320"/>
      <c r="D655" s="321"/>
      <c r="E655" s="322"/>
      <c r="F655" s="323"/>
      <c r="G655" s="324"/>
      <c r="H655" s="324"/>
      <c r="I655" s="324"/>
      <c r="J655" s="324"/>
    </row>
    <row r="656" ht="15.75" customHeight="1">
      <c r="A656" s="385"/>
      <c r="B656" s="386"/>
      <c r="C656" s="387"/>
      <c r="D656" s="388"/>
      <c r="E656" s="389"/>
      <c r="F656" s="390"/>
      <c r="G656" s="391"/>
      <c r="H656" s="391"/>
      <c r="I656" s="391"/>
      <c r="J656" s="391"/>
    </row>
    <row r="657" ht="15.75" customHeight="1">
      <c r="A657" s="318"/>
      <c r="B657" s="319"/>
      <c r="C657" s="320"/>
      <c r="D657" s="321"/>
      <c r="E657" s="322"/>
      <c r="F657" s="323"/>
      <c r="G657" s="324"/>
      <c r="H657" s="324"/>
      <c r="I657" s="324"/>
      <c r="J657" s="324"/>
    </row>
    <row r="658" ht="15.75" customHeight="1">
      <c r="A658" s="385"/>
      <c r="B658" s="386"/>
      <c r="C658" s="387"/>
      <c r="D658" s="388"/>
      <c r="E658" s="389"/>
      <c r="F658" s="390"/>
      <c r="G658" s="391"/>
      <c r="H658" s="391"/>
      <c r="I658" s="391"/>
      <c r="J658" s="391"/>
    </row>
    <row r="659" ht="15.75" customHeight="1">
      <c r="A659" s="318"/>
      <c r="B659" s="319"/>
      <c r="C659" s="320"/>
      <c r="D659" s="321"/>
      <c r="E659" s="322"/>
      <c r="F659" s="323"/>
      <c r="G659" s="324"/>
      <c r="H659" s="324"/>
      <c r="I659" s="324"/>
      <c r="J659" s="324"/>
    </row>
    <row r="660" ht="15.75" customHeight="1">
      <c r="A660" s="385"/>
      <c r="B660" s="386"/>
      <c r="C660" s="387"/>
      <c r="D660" s="388"/>
      <c r="E660" s="389"/>
      <c r="F660" s="390"/>
      <c r="G660" s="391"/>
      <c r="H660" s="391"/>
      <c r="I660" s="391"/>
      <c r="J660" s="391"/>
    </row>
    <row r="661" ht="15.75" customHeight="1">
      <c r="A661" s="318"/>
      <c r="B661" s="319"/>
      <c r="C661" s="320"/>
      <c r="D661" s="321"/>
      <c r="E661" s="322"/>
      <c r="F661" s="323"/>
      <c r="G661" s="324"/>
      <c r="H661" s="324"/>
      <c r="I661" s="324"/>
      <c r="J661" s="324"/>
    </row>
    <row r="662" ht="15.75" customHeight="1">
      <c r="A662" s="385"/>
      <c r="B662" s="386"/>
      <c r="C662" s="387"/>
      <c r="D662" s="388"/>
      <c r="E662" s="389"/>
      <c r="F662" s="390"/>
      <c r="G662" s="391"/>
      <c r="H662" s="391"/>
      <c r="I662" s="391"/>
      <c r="J662" s="391"/>
    </row>
    <row r="663" ht="15.75" customHeight="1">
      <c r="A663" s="318"/>
      <c r="B663" s="319"/>
      <c r="C663" s="320"/>
      <c r="D663" s="321"/>
      <c r="E663" s="322"/>
      <c r="F663" s="323"/>
      <c r="G663" s="324"/>
      <c r="H663" s="324"/>
      <c r="I663" s="324"/>
      <c r="J663" s="324"/>
    </row>
    <row r="664" ht="15.75" customHeight="1">
      <c r="A664" s="385"/>
      <c r="B664" s="386"/>
      <c r="C664" s="387"/>
      <c r="D664" s="388"/>
      <c r="E664" s="389"/>
      <c r="F664" s="390"/>
      <c r="G664" s="391"/>
      <c r="H664" s="391"/>
      <c r="I664" s="391"/>
      <c r="J664" s="391"/>
    </row>
    <row r="665" ht="15.75" customHeight="1">
      <c r="A665" s="318"/>
      <c r="B665" s="319"/>
      <c r="C665" s="320"/>
      <c r="D665" s="321"/>
      <c r="E665" s="322"/>
      <c r="F665" s="323"/>
      <c r="G665" s="324"/>
      <c r="H665" s="324"/>
      <c r="I665" s="324"/>
      <c r="J665" s="324"/>
    </row>
    <row r="666" ht="15.75" customHeight="1">
      <c r="A666" s="385"/>
      <c r="B666" s="386"/>
      <c r="C666" s="387"/>
      <c r="D666" s="388"/>
      <c r="E666" s="389"/>
      <c r="F666" s="390"/>
      <c r="G666" s="391"/>
      <c r="H666" s="391"/>
      <c r="I666" s="391"/>
      <c r="J666" s="391"/>
    </row>
    <row r="667" ht="15.75" customHeight="1">
      <c r="A667" s="318"/>
      <c r="B667" s="319"/>
      <c r="C667" s="320"/>
      <c r="D667" s="321"/>
      <c r="E667" s="322"/>
      <c r="F667" s="323"/>
      <c r="G667" s="324"/>
      <c r="H667" s="324"/>
      <c r="I667" s="324"/>
      <c r="J667" s="324"/>
    </row>
    <row r="668" ht="15.75" customHeight="1">
      <c r="A668" s="385"/>
      <c r="B668" s="386"/>
      <c r="C668" s="387"/>
      <c r="D668" s="388"/>
      <c r="E668" s="389"/>
      <c r="F668" s="390"/>
      <c r="G668" s="391"/>
      <c r="H668" s="391"/>
      <c r="I668" s="391"/>
      <c r="J668" s="391"/>
    </row>
    <row r="669" ht="15.75" customHeight="1">
      <c r="A669" s="318"/>
      <c r="B669" s="319"/>
      <c r="C669" s="320"/>
      <c r="D669" s="321"/>
      <c r="E669" s="322"/>
      <c r="F669" s="323"/>
      <c r="G669" s="324"/>
      <c r="H669" s="324"/>
      <c r="I669" s="324"/>
      <c r="J669" s="324"/>
    </row>
    <row r="670" ht="15.75" customHeight="1">
      <c r="A670" s="385"/>
      <c r="B670" s="386"/>
      <c r="C670" s="387"/>
      <c r="D670" s="388"/>
      <c r="E670" s="389"/>
      <c r="F670" s="390"/>
      <c r="G670" s="391"/>
      <c r="H670" s="391"/>
      <c r="I670" s="391"/>
      <c r="J670" s="391"/>
    </row>
    <row r="671" ht="15.75" customHeight="1">
      <c r="A671" s="318"/>
      <c r="B671" s="319"/>
      <c r="C671" s="320"/>
      <c r="D671" s="321"/>
      <c r="E671" s="322"/>
      <c r="F671" s="323"/>
      <c r="G671" s="324"/>
      <c r="H671" s="324"/>
      <c r="I671" s="324"/>
      <c r="J671" s="324"/>
    </row>
    <row r="672" ht="15.75" customHeight="1">
      <c r="A672" s="385"/>
      <c r="B672" s="386"/>
      <c r="C672" s="387"/>
      <c r="D672" s="388"/>
      <c r="E672" s="389"/>
      <c r="F672" s="390"/>
      <c r="G672" s="391"/>
      <c r="H672" s="391"/>
      <c r="I672" s="391"/>
      <c r="J672" s="391"/>
    </row>
    <row r="673" ht="15.75" customHeight="1">
      <c r="A673" s="318"/>
      <c r="B673" s="319"/>
      <c r="C673" s="320"/>
      <c r="D673" s="321"/>
      <c r="E673" s="322"/>
      <c r="F673" s="323"/>
      <c r="G673" s="324"/>
      <c r="H673" s="324"/>
      <c r="I673" s="324"/>
      <c r="J673" s="324"/>
    </row>
    <row r="674" ht="15.75" customHeight="1">
      <c r="A674" s="385"/>
      <c r="B674" s="386"/>
      <c r="C674" s="387"/>
      <c r="D674" s="388"/>
      <c r="E674" s="389"/>
      <c r="F674" s="390"/>
      <c r="G674" s="391"/>
      <c r="H674" s="391"/>
      <c r="I674" s="391"/>
      <c r="J674" s="391"/>
    </row>
    <row r="675" ht="15.75" customHeight="1">
      <c r="A675" s="318"/>
      <c r="B675" s="319"/>
      <c r="C675" s="320"/>
      <c r="D675" s="321"/>
      <c r="E675" s="322"/>
      <c r="F675" s="323"/>
      <c r="G675" s="324"/>
      <c r="H675" s="324"/>
      <c r="I675" s="324"/>
      <c r="J675" s="324"/>
    </row>
    <row r="676" ht="15.75" customHeight="1">
      <c r="A676" s="385"/>
      <c r="B676" s="386"/>
      <c r="C676" s="387"/>
      <c r="D676" s="388"/>
      <c r="E676" s="389"/>
      <c r="F676" s="390"/>
      <c r="G676" s="391"/>
      <c r="H676" s="391"/>
      <c r="I676" s="391"/>
      <c r="J676" s="391"/>
    </row>
    <row r="677" ht="15.75" customHeight="1">
      <c r="A677" s="318"/>
      <c r="B677" s="319"/>
      <c r="C677" s="320"/>
      <c r="D677" s="321"/>
      <c r="E677" s="322"/>
      <c r="F677" s="323"/>
      <c r="G677" s="324"/>
      <c r="H677" s="324"/>
      <c r="I677" s="324"/>
      <c r="J677" s="324"/>
    </row>
    <row r="678" ht="15.75" customHeight="1">
      <c r="A678" s="385"/>
      <c r="B678" s="386"/>
      <c r="C678" s="387"/>
      <c r="D678" s="388"/>
      <c r="E678" s="389"/>
      <c r="F678" s="390"/>
      <c r="G678" s="391"/>
      <c r="H678" s="391"/>
      <c r="I678" s="391"/>
      <c r="J678" s="391"/>
    </row>
    <row r="679" ht="15.75" customHeight="1">
      <c r="A679" s="318"/>
      <c r="B679" s="319"/>
      <c r="C679" s="320"/>
      <c r="D679" s="321"/>
      <c r="E679" s="322"/>
      <c r="F679" s="323"/>
      <c r="G679" s="324"/>
      <c r="H679" s="324"/>
      <c r="I679" s="324"/>
      <c r="J679" s="324"/>
    </row>
    <row r="680" ht="15.75" customHeight="1">
      <c r="A680" s="385"/>
      <c r="B680" s="386"/>
      <c r="C680" s="387"/>
      <c r="D680" s="388"/>
      <c r="E680" s="389"/>
      <c r="F680" s="390"/>
      <c r="G680" s="391"/>
      <c r="H680" s="391"/>
      <c r="I680" s="391"/>
      <c r="J680" s="391"/>
    </row>
    <row r="681" ht="15.75" customHeight="1">
      <c r="A681" s="318"/>
      <c r="B681" s="319"/>
      <c r="C681" s="320"/>
      <c r="D681" s="321"/>
      <c r="E681" s="322"/>
      <c r="F681" s="323"/>
      <c r="G681" s="324"/>
      <c r="H681" s="324"/>
      <c r="I681" s="324"/>
      <c r="J681" s="324"/>
    </row>
    <row r="682" ht="6.0" customHeight="1">
      <c r="A682" s="334"/>
      <c r="B682" s="334"/>
      <c r="C682" s="335"/>
      <c r="D682" s="336"/>
      <c r="E682" s="334"/>
      <c r="F682" s="334"/>
      <c r="G682" s="334"/>
      <c r="H682" s="334"/>
      <c r="I682" s="334"/>
      <c r="J682" s="334"/>
    </row>
    <row r="683" ht="24.0" customHeight="1">
      <c r="A683" s="313" t="s">
        <v>519</v>
      </c>
      <c r="B683" s="55"/>
      <c r="C683" s="55"/>
      <c r="D683" s="55"/>
      <c r="E683" s="55"/>
      <c r="F683" s="56"/>
      <c r="G683" s="314"/>
      <c r="H683" s="315">
        <f>SUM(D684:D821)</f>
        <v>0</v>
      </c>
      <c r="I683" s="316"/>
      <c r="J683" s="317" t="str">
        <f>IF(I683&gt;0,H683/I683,"")</f>
        <v/>
      </c>
    </row>
    <row r="684" ht="15.75" customHeight="1">
      <c r="A684" s="394"/>
      <c r="B684" s="395"/>
      <c r="C684" s="396"/>
      <c r="D684" s="397"/>
      <c r="E684" s="398"/>
      <c r="F684" s="399"/>
      <c r="G684" s="400"/>
      <c r="H684" s="400"/>
      <c r="I684" s="400"/>
      <c r="J684" s="400"/>
    </row>
    <row r="685" ht="15.75" customHeight="1">
      <c r="A685" s="401"/>
      <c r="B685" s="402"/>
      <c r="C685" s="403"/>
      <c r="D685" s="404"/>
      <c r="E685" s="405"/>
      <c r="F685" s="406"/>
      <c r="G685" s="407"/>
      <c r="H685" s="407"/>
      <c r="I685" s="407"/>
      <c r="J685" s="407"/>
    </row>
    <row r="686" ht="15.75" customHeight="1">
      <c r="A686" s="394"/>
      <c r="B686" s="395"/>
      <c r="C686" s="396"/>
      <c r="D686" s="397"/>
      <c r="E686" s="398"/>
      <c r="F686" s="399"/>
      <c r="G686" s="400"/>
      <c r="H686" s="400"/>
      <c r="I686" s="400"/>
      <c r="J686" s="400"/>
    </row>
    <row r="687" ht="15.75" customHeight="1">
      <c r="A687" s="401"/>
      <c r="B687" s="402"/>
      <c r="C687" s="403"/>
      <c r="D687" s="404"/>
      <c r="E687" s="405"/>
      <c r="F687" s="406"/>
      <c r="G687" s="407"/>
      <c r="H687" s="407"/>
      <c r="I687" s="407"/>
      <c r="J687" s="407"/>
    </row>
    <row r="688" ht="15.75" customHeight="1">
      <c r="A688" s="394"/>
      <c r="B688" s="395"/>
      <c r="C688" s="396"/>
      <c r="D688" s="397"/>
      <c r="E688" s="398"/>
      <c r="F688" s="399"/>
      <c r="G688" s="400"/>
      <c r="H688" s="400"/>
      <c r="I688" s="400"/>
      <c r="J688" s="400"/>
    </row>
    <row r="689" ht="15.75" customHeight="1">
      <c r="A689" s="401"/>
      <c r="B689" s="402"/>
      <c r="C689" s="403"/>
      <c r="D689" s="404"/>
      <c r="E689" s="405"/>
      <c r="F689" s="406"/>
      <c r="G689" s="407"/>
      <c r="H689" s="407"/>
      <c r="I689" s="407"/>
      <c r="J689" s="407"/>
    </row>
    <row r="690" ht="15.75" customHeight="1">
      <c r="A690" s="394"/>
      <c r="B690" s="395"/>
      <c r="C690" s="396"/>
      <c r="D690" s="397"/>
      <c r="E690" s="398"/>
      <c r="F690" s="399"/>
      <c r="G690" s="400"/>
      <c r="H690" s="400"/>
      <c r="I690" s="400"/>
      <c r="J690" s="400"/>
    </row>
    <row r="691" ht="15.75" customHeight="1">
      <c r="A691" s="401"/>
      <c r="B691" s="402"/>
      <c r="C691" s="403"/>
      <c r="D691" s="404"/>
      <c r="E691" s="405"/>
      <c r="F691" s="406"/>
      <c r="G691" s="407"/>
      <c r="H691" s="407"/>
      <c r="I691" s="407"/>
      <c r="J691" s="407"/>
    </row>
    <row r="692" ht="15.75" customHeight="1">
      <c r="A692" s="394"/>
      <c r="B692" s="395"/>
      <c r="C692" s="396"/>
      <c r="D692" s="397"/>
      <c r="E692" s="398"/>
      <c r="F692" s="399"/>
      <c r="G692" s="400"/>
      <c r="H692" s="400"/>
      <c r="I692" s="400"/>
      <c r="J692" s="400"/>
    </row>
    <row r="693" ht="15.75" customHeight="1">
      <c r="A693" s="401"/>
      <c r="B693" s="402"/>
      <c r="C693" s="403"/>
      <c r="D693" s="404"/>
      <c r="E693" s="405"/>
      <c r="F693" s="406"/>
      <c r="G693" s="407"/>
      <c r="H693" s="407"/>
      <c r="I693" s="407"/>
      <c r="J693" s="407"/>
    </row>
    <row r="694" ht="15.75" customHeight="1">
      <c r="A694" s="394"/>
      <c r="B694" s="395"/>
      <c r="C694" s="396"/>
      <c r="D694" s="397"/>
      <c r="E694" s="398"/>
      <c r="F694" s="399"/>
      <c r="G694" s="400"/>
      <c r="H694" s="400"/>
      <c r="I694" s="400"/>
      <c r="J694" s="400"/>
    </row>
    <row r="695" ht="15.75" customHeight="1">
      <c r="A695" s="401"/>
      <c r="B695" s="402"/>
      <c r="C695" s="403"/>
      <c r="D695" s="404"/>
      <c r="E695" s="405"/>
      <c r="F695" s="406"/>
      <c r="G695" s="407"/>
      <c r="H695" s="407"/>
      <c r="I695" s="407"/>
      <c r="J695" s="407"/>
    </row>
    <row r="696" ht="15.75" customHeight="1">
      <c r="A696" s="394"/>
      <c r="B696" s="395"/>
      <c r="C696" s="396"/>
      <c r="D696" s="397"/>
      <c r="E696" s="398"/>
      <c r="F696" s="399"/>
      <c r="G696" s="400"/>
      <c r="H696" s="400"/>
      <c r="I696" s="400"/>
      <c r="J696" s="400"/>
    </row>
    <row r="697" ht="15.75" customHeight="1">
      <c r="A697" s="401"/>
      <c r="B697" s="402"/>
      <c r="C697" s="403"/>
      <c r="D697" s="404"/>
      <c r="E697" s="405"/>
      <c r="F697" s="406"/>
      <c r="G697" s="407"/>
      <c r="H697" s="407"/>
      <c r="I697" s="407"/>
      <c r="J697" s="407"/>
    </row>
    <row r="698" ht="15.75" customHeight="1">
      <c r="A698" s="394"/>
      <c r="B698" s="395"/>
      <c r="C698" s="396"/>
      <c r="D698" s="397"/>
      <c r="E698" s="398"/>
      <c r="F698" s="399"/>
      <c r="G698" s="400"/>
      <c r="H698" s="400"/>
      <c r="I698" s="400"/>
      <c r="J698" s="400"/>
    </row>
    <row r="699" ht="15.75" customHeight="1">
      <c r="A699" s="401"/>
      <c r="B699" s="402"/>
      <c r="C699" s="403"/>
      <c r="D699" s="404"/>
      <c r="E699" s="405"/>
      <c r="F699" s="406"/>
      <c r="G699" s="407"/>
      <c r="H699" s="407"/>
      <c r="I699" s="407"/>
      <c r="J699" s="407"/>
    </row>
    <row r="700" ht="15.75" customHeight="1">
      <c r="A700" s="394"/>
      <c r="B700" s="395"/>
      <c r="C700" s="396"/>
      <c r="D700" s="397"/>
      <c r="E700" s="398"/>
      <c r="F700" s="399"/>
      <c r="G700" s="400"/>
      <c r="H700" s="400"/>
      <c r="I700" s="400"/>
      <c r="J700" s="400"/>
    </row>
    <row r="701" ht="15.75" customHeight="1">
      <c r="A701" s="401"/>
      <c r="B701" s="402"/>
      <c r="C701" s="403"/>
      <c r="D701" s="404"/>
      <c r="E701" s="405"/>
      <c r="F701" s="406"/>
      <c r="G701" s="407"/>
      <c r="H701" s="407"/>
      <c r="I701" s="407"/>
      <c r="J701" s="407"/>
    </row>
    <row r="702" ht="15.75" customHeight="1">
      <c r="A702" s="394"/>
      <c r="B702" s="395"/>
      <c r="C702" s="396"/>
      <c r="D702" s="397"/>
      <c r="E702" s="398"/>
      <c r="F702" s="399"/>
      <c r="G702" s="400"/>
      <c r="H702" s="400"/>
      <c r="I702" s="400"/>
      <c r="J702" s="400"/>
    </row>
    <row r="703" ht="15.75" customHeight="1">
      <c r="A703" s="401"/>
      <c r="B703" s="402"/>
      <c r="C703" s="403"/>
      <c r="D703" s="404"/>
      <c r="E703" s="405"/>
      <c r="F703" s="406"/>
      <c r="G703" s="407"/>
      <c r="H703" s="407"/>
      <c r="I703" s="407"/>
      <c r="J703" s="407"/>
    </row>
    <row r="704" ht="15.75" customHeight="1">
      <c r="A704" s="394"/>
      <c r="B704" s="395"/>
      <c r="C704" s="396"/>
      <c r="D704" s="397"/>
      <c r="E704" s="398"/>
      <c r="F704" s="399"/>
      <c r="G704" s="400"/>
      <c r="H704" s="400"/>
      <c r="I704" s="400"/>
      <c r="J704" s="400"/>
    </row>
    <row r="705" ht="15.75" customHeight="1">
      <c r="A705" s="401"/>
      <c r="B705" s="402"/>
      <c r="C705" s="403"/>
      <c r="D705" s="404"/>
      <c r="E705" s="405"/>
      <c r="F705" s="406"/>
      <c r="G705" s="407"/>
      <c r="H705" s="407"/>
      <c r="I705" s="407"/>
      <c r="J705" s="407"/>
    </row>
    <row r="706" ht="15.75" customHeight="1">
      <c r="A706" s="394"/>
      <c r="B706" s="395"/>
      <c r="C706" s="396"/>
      <c r="D706" s="397"/>
      <c r="E706" s="398"/>
      <c r="F706" s="399"/>
      <c r="G706" s="400"/>
      <c r="H706" s="400"/>
      <c r="I706" s="400"/>
      <c r="J706" s="400"/>
    </row>
    <row r="707" ht="15.75" customHeight="1">
      <c r="A707" s="401"/>
      <c r="B707" s="402"/>
      <c r="C707" s="403"/>
      <c r="D707" s="404"/>
      <c r="E707" s="405"/>
      <c r="F707" s="406"/>
      <c r="G707" s="407"/>
      <c r="H707" s="407"/>
      <c r="I707" s="407"/>
      <c r="J707" s="407"/>
    </row>
    <row r="708" ht="15.75" customHeight="1">
      <c r="A708" s="394"/>
      <c r="B708" s="395"/>
      <c r="C708" s="396"/>
      <c r="D708" s="397"/>
      <c r="E708" s="398"/>
      <c r="F708" s="399"/>
      <c r="G708" s="400"/>
      <c r="H708" s="400"/>
      <c r="I708" s="400"/>
      <c r="J708" s="400"/>
    </row>
    <row r="709" ht="15.75" customHeight="1">
      <c r="A709" s="401"/>
      <c r="B709" s="402"/>
      <c r="C709" s="403"/>
      <c r="D709" s="404"/>
      <c r="E709" s="405"/>
      <c r="F709" s="406"/>
      <c r="G709" s="407"/>
      <c r="H709" s="407"/>
      <c r="I709" s="407"/>
      <c r="J709" s="407"/>
    </row>
    <row r="710" ht="15.75" customHeight="1">
      <c r="A710" s="394"/>
      <c r="B710" s="395"/>
      <c r="C710" s="396"/>
      <c r="D710" s="397"/>
      <c r="E710" s="398"/>
      <c r="F710" s="399"/>
      <c r="G710" s="400"/>
      <c r="H710" s="400"/>
      <c r="I710" s="400"/>
      <c r="J710" s="400"/>
    </row>
    <row r="711" ht="15.75" customHeight="1">
      <c r="A711" s="401"/>
      <c r="B711" s="402"/>
      <c r="C711" s="403"/>
      <c r="D711" s="404"/>
      <c r="E711" s="405"/>
      <c r="F711" s="406"/>
      <c r="G711" s="407"/>
      <c r="H711" s="407"/>
      <c r="I711" s="407"/>
      <c r="J711" s="407"/>
    </row>
    <row r="712" ht="15.75" customHeight="1">
      <c r="A712" s="394"/>
      <c r="B712" s="395"/>
      <c r="C712" s="396"/>
      <c r="D712" s="397"/>
      <c r="E712" s="398"/>
      <c r="F712" s="399"/>
      <c r="G712" s="400"/>
      <c r="H712" s="400"/>
      <c r="I712" s="400"/>
      <c r="J712" s="400"/>
    </row>
    <row r="713" ht="15.75" customHeight="1">
      <c r="A713" s="401"/>
      <c r="B713" s="402"/>
      <c r="C713" s="403"/>
      <c r="D713" s="404"/>
      <c r="E713" s="405"/>
      <c r="F713" s="406"/>
      <c r="G713" s="407"/>
      <c r="H713" s="407"/>
      <c r="I713" s="407"/>
      <c r="J713" s="407"/>
    </row>
    <row r="714" ht="15.75" customHeight="1">
      <c r="A714" s="394"/>
      <c r="B714" s="395"/>
      <c r="C714" s="396"/>
      <c r="D714" s="397"/>
      <c r="E714" s="398"/>
      <c r="F714" s="399"/>
      <c r="G714" s="400"/>
      <c r="H714" s="400"/>
      <c r="I714" s="400"/>
      <c r="J714" s="400"/>
    </row>
    <row r="715" ht="15.75" customHeight="1">
      <c r="A715" s="401"/>
      <c r="B715" s="402"/>
      <c r="C715" s="403"/>
      <c r="D715" s="404"/>
      <c r="E715" s="405"/>
      <c r="F715" s="406"/>
      <c r="G715" s="407"/>
      <c r="H715" s="407"/>
      <c r="I715" s="407"/>
      <c r="J715" s="407"/>
    </row>
    <row r="716" ht="15.75" customHeight="1">
      <c r="A716" s="394"/>
      <c r="B716" s="395"/>
      <c r="C716" s="396"/>
      <c r="D716" s="397"/>
      <c r="E716" s="398"/>
      <c r="F716" s="399"/>
      <c r="G716" s="400"/>
      <c r="H716" s="400"/>
      <c r="I716" s="400"/>
      <c r="J716" s="400"/>
    </row>
    <row r="717" ht="15.75" customHeight="1">
      <c r="A717" s="401"/>
      <c r="B717" s="402"/>
      <c r="C717" s="403"/>
      <c r="D717" s="404"/>
      <c r="E717" s="405"/>
      <c r="F717" s="406"/>
      <c r="G717" s="407"/>
      <c r="H717" s="407"/>
      <c r="I717" s="407"/>
      <c r="J717" s="407"/>
    </row>
    <row r="718" ht="15.75" customHeight="1">
      <c r="A718" s="394"/>
      <c r="B718" s="395"/>
      <c r="C718" s="396"/>
      <c r="D718" s="397"/>
      <c r="E718" s="398"/>
      <c r="F718" s="399"/>
      <c r="G718" s="400"/>
      <c r="H718" s="400"/>
      <c r="I718" s="400"/>
      <c r="J718" s="400"/>
    </row>
    <row r="719" ht="15.75" customHeight="1">
      <c r="A719" s="401"/>
      <c r="B719" s="402"/>
      <c r="C719" s="403"/>
      <c r="D719" s="404"/>
      <c r="E719" s="405"/>
      <c r="F719" s="406"/>
      <c r="G719" s="407"/>
      <c r="H719" s="407"/>
      <c r="I719" s="407"/>
      <c r="J719" s="407"/>
    </row>
    <row r="720" ht="15.75" customHeight="1">
      <c r="A720" s="394"/>
      <c r="B720" s="395"/>
      <c r="C720" s="396"/>
      <c r="D720" s="397"/>
      <c r="E720" s="398"/>
      <c r="F720" s="399"/>
      <c r="G720" s="400"/>
      <c r="H720" s="400"/>
      <c r="I720" s="400"/>
      <c r="J720" s="400"/>
    </row>
    <row r="721" ht="15.75" customHeight="1">
      <c r="A721" s="401"/>
      <c r="B721" s="402"/>
      <c r="C721" s="403"/>
      <c r="D721" s="404"/>
      <c r="E721" s="405"/>
      <c r="F721" s="406"/>
      <c r="G721" s="407"/>
      <c r="H721" s="407"/>
      <c r="I721" s="407"/>
      <c r="J721" s="407"/>
    </row>
    <row r="722" ht="15.75" customHeight="1">
      <c r="A722" s="394"/>
      <c r="B722" s="395"/>
      <c r="C722" s="396"/>
      <c r="D722" s="397"/>
      <c r="E722" s="398"/>
      <c r="F722" s="399"/>
      <c r="G722" s="400"/>
      <c r="H722" s="400"/>
      <c r="I722" s="400"/>
      <c r="J722" s="400"/>
    </row>
    <row r="723" ht="15.75" customHeight="1">
      <c r="A723" s="401"/>
      <c r="B723" s="402"/>
      <c r="C723" s="403"/>
      <c r="D723" s="404"/>
      <c r="E723" s="405"/>
      <c r="F723" s="406"/>
      <c r="G723" s="407"/>
      <c r="H723" s="407"/>
      <c r="I723" s="407"/>
      <c r="J723" s="407"/>
    </row>
    <row r="724" ht="15.75" customHeight="1">
      <c r="A724" s="394"/>
      <c r="B724" s="395"/>
      <c r="C724" s="396"/>
      <c r="D724" s="397"/>
      <c r="E724" s="398"/>
      <c r="F724" s="399"/>
      <c r="G724" s="400"/>
      <c r="H724" s="400"/>
      <c r="I724" s="400"/>
      <c r="J724" s="400"/>
    </row>
    <row r="725" ht="15.75" customHeight="1">
      <c r="A725" s="401"/>
      <c r="B725" s="402"/>
      <c r="C725" s="403"/>
      <c r="D725" s="404"/>
      <c r="E725" s="405"/>
      <c r="F725" s="406"/>
      <c r="G725" s="407"/>
      <c r="H725" s="407"/>
      <c r="I725" s="407"/>
      <c r="J725" s="407"/>
    </row>
    <row r="726" ht="15.75" customHeight="1">
      <c r="A726" s="394"/>
      <c r="B726" s="395"/>
      <c r="C726" s="396"/>
      <c r="D726" s="397"/>
      <c r="E726" s="398"/>
      <c r="F726" s="399"/>
      <c r="G726" s="400"/>
      <c r="H726" s="400"/>
      <c r="I726" s="400"/>
      <c r="J726" s="400"/>
    </row>
    <row r="727" ht="15.75" customHeight="1">
      <c r="A727" s="401"/>
      <c r="B727" s="402"/>
      <c r="C727" s="403"/>
      <c r="D727" s="404"/>
      <c r="E727" s="405"/>
      <c r="F727" s="406"/>
      <c r="G727" s="407"/>
      <c r="H727" s="407"/>
      <c r="I727" s="407"/>
      <c r="J727" s="407"/>
    </row>
    <row r="728" ht="15.75" customHeight="1">
      <c r="A728" s="394"/>
      <c r="B728" s="395"/>
      <c r="C728" s="396"/>
      <c r="D728" s="397"/>
      <c r="E728" s="398"/>
      <c r="F728" s="399"/>
      <c r="G728" s="400"/>
      <c r="H728" s="400"/>
      <c r="I728" s="400"/>
      <c r="J728" s="400"/>
    </row>
    <row r="729" ht="15.75" customHeight="1">
      <c r="A729" s="401"/>
      <c r="B729" s="402"/>
      <c r="C729" s="403"/>
      <c r="D729" s="404"/>
      <c r="E729" s="405"/>
      <c r="F729" s="406"/>
      <c r="G729" s="407"/>
      <c r="H729" s="407"/>
      <c r="I729" s="407"/>
      <c r="J729" s="407"/>
    </row>
    <row r="730" ht="15.75" customHeight="1">
      <c r="A730" s="394"/>
      <c r="B730" s="395"/>
      <c r="C730" s="396"/>
      <c r="D730" s="397"/>
      <c r="E730" s="398"/>
      <c r="F730" s="399"/>
      <c r="G730" s="400"/>
      <c r="H730" s="400"/>
      <c r="I730" s="400"/>
      <c r="J730" s="400"/>
    </row>
    <row r="731" ht="15.75" customHeight="1">
      <c r="A731" s="401"/>
      <c r="B731" s="402"/>
      <c r="C731" s="403"/>
      <c r="D731" s="404"/>
      <c r="E731" s="405"/>
      <c r="F731" s="406"/>
      <c r="G731" s="407"/>
      <c r="H731" s="407"/>
      <c r="I731" s="407"/>
      <c r="J731" s="407"/>
    </row>
    <row r="732" ht="15.75" customHeight="1">
      <c r="A732" s="394"/>
      <c r="B732" s="395"/>
      <c r="C732" s="396"/>
      <c r="D732" s="397"/>
      <c r="E732" s="398"/>
      <c r="F732" s="399"/>
      <c r="G732" s="400"/>
      <c r="H732" s="400"/>
      <c r="I732" s="400"/>
      <c r="J732" s="400"/>
    </row>
    <row r="733" ht="15.75" customHeight="1">
      <c r="A733" s="401"/>
      <c r="B733" s="402"/>
      <c r="C733" s="403"/>
      <c r="D733" s="404"/>
      <c r="E733" s="405"/>
      <c r="F733" s="406"/>
      <c r="G733" s="407"/>
      <c r="H733" s="407"/>
      <c r="I733" s="407"/>
      <c r="J733" s="407"/>
    </row>
    <row r="734" ht="15.75" customHeight="1">
      <c r="A734" s="394"/>
      <c r="B734" s="395"/>
      <c r="C734" s="396"/>
      <c r="D734" s="397"/>
      <c r="E734" s="398"/>
      <c r="F734" s="399"/>
      <c r="G734" s="400"/>
      <c r="H734" s="400"/>
      <c r="I734" s="400"/>
      <c r="J734" s="400"/>
    </row>
    <row r="735" ht="15.75" customHeight="1">
      <c r="A735" s="401"/>
      <c r="B735" s="402"/>
      <c r="C735" s="403"/>
      <c r="D735" s="404"/>
      <c r="E735" s="405"/>
      <c r="F735" s="406"/>
      <c r="G735" s="407"/>
      <c r="H735" s="407"/>
      <c r="I735" s="407"/>
      <c r="J735" s="407"/>
    </row>
    <row r="736" ht="15.75" customHeight="1">
      <c r="A736" s="394"/>
      <c r="B736" s="395"/>
      <c r="C736" s="396"/>
      <c r="D736" s="397"/>
      <c r="E736" s="398"/>
      <c r="F736" s="399"/>
      <c r="G736" s="400"/>
      <c r="H736" s="400"/>
      <c r="I736" s="400"/>
      <c r="J736" s="400"/>
    </row>
    <row r="737" ht="15.75" customHeight="1">
      <c r="A737" s="401"/>
      <c r="B737" s="402"/>
      <c r="C737" s="403"/>
      <c r="D737" s="404"/>
      <c r="E737" s="405"/>
      <c r="F737" s="406"/>
      <c r="G737" s="407"/>
      <c r="H737" s="407"/>
      <c r="I737" s="407"/>
      <c r="J737" s="407"/>
    </row>
    <row r="738" ht="15.75" customHeight="1">
      <c r="A738" s="394"/>
      <c r="B738" s="395"/>
      <c r="C738" s="396"/>
      <c r="D738" s="397"/>
      <c r="E738" s="398"/>
      <c r="F738" s="399"/>
      <c r="G738" s="400"/>
      <c r="H738" s="400"/>
      <c r="I738" s="400"/>
      <c r="J738" s="400"/>
    </row>
    <row r="739" ht="15.75" customHeight="1">
      <c r="A739" s="401"/>
      <c r="B739" s="402"/>
      <c r="C739" s="403"/>
      <c r="D739" s="404"/>
      <c r="E739" s="405"/>
      <c r="F739" s="406"/>
      <c r="G739" s="407"/>
      <c r="H739" s="407"/>
      <c r="I739" s="407"/>
      <c r="J739" s="407"/>
    </row>
    <row r="740" ht="15.75" customHeight="1">
      <c r="A740" s="394"/>
      <c r="B740" s="395"/>
      <c r="C740" s="396"/>
      <c r="D740" s="397"/>
      <c r="E740" s="398"/>
      <c r="F740" s="399"/>
      <c r="G740" s="400"/>
      <c r="H740" s="400"/>
      <c r="I740" s="400"/>
      <c r="J740" s="400"/>
    </row>
    <row r="741" ht="15.75" customHeight="1">
      <c r="A741" s="401"/>
      <c r="B741" s="402"/>
      <c r="C741" s="403"/>
      <c r="D741" s="404"/>
      <c r="E741" s="405"/>
      <c r="F741" s="406"/>
      <c r="G741" s="407"/>
      <c r="H741" s="407"/>
      <c r="I741" s="407"/>
      <c r="J741" s="407"/>
    </row>
    <row r="742" ht="15.75" customHeight="1">
      <c r="A742" s="394"/>
      <c r="B742" s="395"/>
      <c r="C742" s="396"/>
      <c r="D742" s="397"/>
      <c r="E742" s="398"/>
      <c r="F742" s="399"/>
      <c r="G742" s="400"/>
      <c r="H742" s="400"/>
      <c r="I742" s="400"/>
      <c r="J742" s="400"/>
    </row>
    <row r="743" ht="15.75" customHeight="1">
      <c r="A743" s="401"/>
      <c r="B743" s="402"/>
      <c r="C743" s="403"/>
      <c r="D743" s="404"/>
      <c r="E743" s="405"/>
      <c r="F743" s="406"/>
      <c r="G743" s="407"/>
      <c r="H743" s="407"/>
      <c r="I743" s="407"/>
      <c r="J743" s="407"/>
    </row>
    <row r="744" ht="15.75" customHeight="1">
      <c r="A744" s="394"/>
      <c r="B744" s="395"/>
      <c r="C744" s="396"/>
      <c r="D744" s="397"/>
      <c r="E744" s="398"/>
      <c r="F744" s="399"/>
      <c r="G744" s="400"/>
      <c r="H744" s="400"/>
      <c r="I744" s="400"/>
      <c r="J744" s="400"/>
    </row>
    <row r="745" ht="15.75" customHeight="1">
      <c r="A745" s="401"/>
      <c r="B745" s="402"/>
      <c r="C745" s="403"/>
      <c r="D745" s="404"/>
      <c r="E745" s="405"/>
      <c r="F745" s="406"/>
      <c r="G745" s="407"/>
      <c r="H745" s="407"/>
      <c r="I745" s="407"/>
      <c r="J745" s="407"/>
    </row>
    <row r="746" ht="15.75" customHeight="1">
      <c r="A746" s="394"/>
      <c r="B746" s="395"/>
      <c r="C746" s="396"/>
      <c r="D746" s="397"/>
      <c r="E746" s="398"/>
      <c r="F746" s="399"/>
      <c r="G746" s="400"/>
      <c r="H746" s="400"/>
      <c r="I746" s="400"/>
      <c r="J746" s="400"/>
    </row>
    <row r="747" ht="15.75" customHeight="1">
      <c r="A747" s="401"/>
      <c r="B747" s="402"/>
      <c r="C747" s="403"/>
      <c r="D747" s="404"/>
      <c r="E747" s="405"/>
      <c r="F747" s="406"/>
      <c r="G747" s="407"/>
      <c r="H747" s="407"/>
      <c r="I747" s="407"/>
      <c r="J747" s="407"/>
    </row>
    <row r="748" ht="15.75" customHeight="1">
      <c r="A748" s="394"/>
      <c r="B748" s="395"/>
      <c r="C748" s="396"/>
      <c r="D748" s="397"/>
      <c r="E748" s="398"/>
      <c r="F748" s="399"/>
      <c r="G748" s="400"/>
      <c r="H748" s="400"/>
      <c r="I748" s="400"/>
      <c r="J748" s="400"/>
    </row>
    <row r="749" ht="15.75" customHeight="1">
      <c r="A749" s="401"/>
      <c r="B749" s="402"/>
      <c r="C749" s="403"/>
      <c r="D749" s="404"/>
      <c r="E749" s="405"/>
      <c r="F749" s="406"/>
      <c r="G749" s="407"/>
      <c r="H749" s="407"/>
      <c r="I749" s="407"/>
      <c r="J749" s="407"/>
    </row>
    <row r="750" ht="15.75" customHeight="1">
      <c r="A750" s="394"/>
      <c r="B750" s="395"/>
      <c r="C750" s="396"/>
      <c r="D750" s="397"/>
      <c r="E750" s="398"/>
      <c r="F750" s="399"/>
      <c r="G750" s="400"/>
      <c r="H750" s="400"/>
      <c r="I750" s="400"/>
      <c r="J750" s="400"/>
    </row>
    <row r="751" ht="15.75" customHeight="1">
      <c r="A751" s="401"/>
      <c r="B751" s="402"/>
      <c r="C751" s="403"/>
      <c r="D751" s="404"/>
      <c r="E751" s="405"/>
      <c r="F751" s="406"/>
      <c r="G751" s="407"/>
      <c r="H751" s="407"/>
      <c r="I751" s="407"/>
      <c r="J751" s="407"/>
    </row>
    <row r="752" ht="15.75" customHeight="1">
      <c r="A752" s="394"/>
      <c r="B752" s="395"/>
      <c r="C752" s="396"/>
      <c r="D752" s="397"/>
      <c r="E752" s="398"/>
      <c r="F752" s="399"/>
      <c r="G752" s="400"/>
      <c r="H752" s="400"/>
      <c r="I752" s="400"/>
      <c r="J752" s="400"/>
    </row>
    <row r="753" ht="15.75" customHeight="1">
      <c r="A753" s="401"/>
      <c r="B753" s="402"/>
      <c r="C753" s="403"/>
      <c r="D753" s="404"/>
      <c r="E753" s="405"/>
      <c r="F753" s="406"/>
      <c r="G753" s="407"/>
      <c r="H753" s="407"/>
      <c r="I753" s="407"/>
      <c r="J753" s="407"/>
    </row>
    <row r="754" ht="15.75" customHeight="1">
      <c r="A754" s="394"/>
      <c r="B754" s="395"/>
      <c r="C754" s="396"/>
      <c r="D754" s="397"/>
      <c r="E754" s="398"/>
      <c r="F754" s="399"/>
      <c r="G754" s="400"/>
      <c r="H754" s="400"/>
      <c r="I754" s="400"/>
      <c r="J754" s="400"/>
    </row>
    <row r="755" ht="15.75" customHeight="1">
      <c r="A755" s="401"/>
      <c r="B755" s="402"/>
      <c r="C755" s="403"/>
      <c r="D755" s="404"/>
      <c r="E755" s="405"/>
      <c r="F755" s="406"/>
      <c r="G755" s="407"/>
      <c r="H755" s="407"/>
      <c r="I755" s="407"/>
      <c r="J755" s="407"/>
    </row>
    <row r="756" ht="15.75" customHeight="1">
      <c r="A756" s="394"/>
      <c r="B756" s="395"/>
      <c r="C756" s="396"/>
      <c r="D756" s="397"/>
      <c r="E756" s="398"/>
      <c r="F756" s="399"/>
      <c r="G756" s="400"/>
      <c r="H756" s="400"/>
      <c r="I756" s="400"/>
      <c r="J756" s="400"/>
    </row>
    <row r="757" ht="15.75" customHeight="1">
      <c r="A757" s="401"/>
      <c r="B757" s="402"/>
      <c r="C757" s="403"/>
      <c r="D757" s="404"/>
      <c r="E757" s="405"/>
      <c r="F757" s="406"/>
      <c r="G757" s="407"/>
      <c r="H757" s="407"/>
      <c r="I757" s="407"/>
      <c r="J757" s="407"/>
    </row>
    <row r="758" ht="15.75" customHeight="1">
      <c r="A758" s="394"/>
      <c r="B758" s="395"/>
      <c r="C758" s="396"/>
      <c r="D758" s="397"/>
      <c r="E758" s="398"/>
      <c r="F758" s="399"/>
      <c r="G758" s="400"/>
      <c r="H758" s="400"/>
      <c r="I758" s="400"/>
      <c r="J758" s="400"/>
    </row>
    <row r="759" ht="15.75" customHeight="1">
      <c r="A759" s="401"/>
      <c r="B759" s="402"/>
      <c r="C759" s="403"/>
      <c r="D759" s="404"/>
      <c r="E759" s="405"/>
      <c r="F759" s="406"/>
      <c r="G759" s="407"/>
      <c r="H759" s="407"/>
      <c r="I759" s="407"/>
      <c r="J759" s="407"/>
    </row>
    <row r="760" ht="15.75" customHeight="1">
      <c r="A760" s="394"/>
      <c r="B760" s="395"/>
      <c r="C760" s="396"/>
      <c r="D760" s="397"/>
      <c r="E760" s="398"/>
      <c r="F760" s="399"/>
      <c r="G760" s="400"/>
      <c r="H760" s="400"/>
      <c r="I760" s="400"/>
      <c r="J760" s="400"/>
    </row>
    <row r="761" ht="15.75" customHeight="1">
      <c r="A761" s="401"/>
      <c r="B761" s="402"/>
      <c r="C761" s="403"/>
      <c r="D761" s="404"/>
      <c r="E761" s="405"/>
      <c r="F761" s="406"/>
      <c r="G761" s="407"/>
      <c r="H761" s="407"/>
      <c r="I761" s="407"/>
      <c r="J761" s="407"/>
    </row>
    <row r="762" ht="15.75" customHeight="1">
      <c r="A762" s="394"/>
      <c r="B762" s="395"/>
      <c r="C762" s="396"/>
      <c r="D762" s="397"/>
      <c r="E762" s="398"/>
      <c r="F762" s="399"/>
      <c r="G762" s="400"/>
      <c r="H762" s="400"/>
      <c r="I762" s="400"/>
      <c r="J762" s="400"/>
    </row>
    <row r="763" ht="15.75" customHeight="1">
      <c r="A763" s="401"/>
      <c r="B763" s="402"/>
      <c r="C763" s="403"/>
      <c r="D763" s="404"/>
      <c r="E763" s="405"/>
      <c r="F763" s="406"/>
      <c r="G763" s="407"/>
      <c r="H763" s="407"/>
      <c r="I763" s="407"/>
      <c r="J763" s="407"/>
    </row>
    <row r="764" ht="15.75" customHeight="1">
      <c r="A764" s="394"/>
      <c r="B764" s="395"/>
      <c r="C764" s="396"/>
      <c r="D764" s="397"/>
      <c r="E764" s="398"/>
      <c r="F764" s="399"/>
      <c r="G764" s="400"/>
      <c r="H764" s="400"/>
      <c r="I764" s="400"/>
      <c r="J764" s="400"/>
    </row>
    <row r="765" ht="15.75" customHeight="1">
      <c r="A765" s="401"/>
      <c r="B765" s="402"/>
      <c r="C765" s="403"/>
      <c r="D765" s="404"/>
      <c r="E765" s="405"/>
      <c r="F765" s="406"/>
      <c r="G765" s="407"/>
      <c r="H765" s="407"/>
      <c r="I765" s="407"/>
      <c r="J765" s="407"/>
    </row>
    <row r="766" ht="15.75" customHeight="1">
      <c r="A766" s="394"/>
      <c r="B766" s="395"/>
      <c r="C766" s="396"/>
      <c r="D766" s="397"/>
      <c r="E766" s="398"/>
      <c r="F766" s="399"/>
      <c r="G766" s="400"/>
      <c r="H766" s="400"/>
      <c r="I766" s="400"/>
      <c r="J766" s="400"/>
    </row>
    <row r="767" ht="15.75" customHeight="1">
      <c r="A767" s="401"/>
      <c r="B767" s="402"/>
      <c r="C767" s="403"/>
      <c r="D767" s="404"/>
      <c r="E767" s="405"/>
      <c r="F767" s="406"/>
      <c r="G767" s="407"/>
      <c r="H767" s="407"/>
      <c r="I767" s="407"/>
      <c r="J767" s="407"/>
    </row>
    <row r="768" ht="15.75" customHeight="1">
      <c r="A768" s="394"/>
      <c r="B768" s="395"/>
      <c r="C768" s="396"/>
      <c r="D768" s="397"/>
      <c r="E768" s="398"/>
      <c r="F768" s="399"/>
      <c r="G768" s="400"/>
      <c r="H768" s="400"/>
      <c r="I768" s="400"/>
      <c r="J768" s="400"/>
    </row>
    <row r="769" ht="15.75" customHeight="1">
      <c r="A769" s="401"/>
      <c r="B769" s="402"/>
      <c r="C769" s="403"/>
      <c r="D769" s="404"/>
      <c r="E769" s="405"/>
      <c r="F769" s="406"/>
      <c r="G769" s="407"/>
      <c r="H769" s="407"/>
      <c r="I769" s="407"/>
      <c r="J769" s="407"/>
    </row>
    <row r="770" ht="15.75" customHeight="1">
      <c r="A770" s="394"/>
      <c r="B770" s="395"/>
      <c r="C770" s="396"/>
      <c r="D770" s="397"/>
      <c r="E770" s="398"/>
      <c r="F770" s="399"/>
      <c r="G770" s="400"/>
      <c r="H770" s="400"/>
      <c r="I770" s="400"/>
      <c r="J770" s="400"/>
    </row>
    <row r="771" ht="15.75" customHeight="1">
      <c r="A771" s="401"/>
      <c r="B771" s="402"/>
      <c r="C771" s="403"/>
      <c r="D771" s="404"/>
      <c r="E771" s="405"/>
      <c r="F771" s="406"/>
      <c r="G771" s="407"/>
      <c r="H771" s="407"/>
      <c r="I771" s="407"/>
      <c r="J771" s="407"/>
    </row>
    <row r="772" ht="15.75" customHeight="1">
      <c r="A772" s="394"/>
      <c r="B772" s="395"/>
      <c r="C772" s="396"/>
      <c r="D772" s="397"/>
      <c r="E772" s="398"/>
      <c r="F772" s="399"/>
      <c r="G772" s="400"/>
      <c r="H772" s="400"/>
      <c r="I772" s="400"/>
      <c r="J772" s="400"/>
    </row>
    <row r="773" ht="15.75" customHeight="1">
      <c r="A773" s="401"/>
      <c r="B773" s="402"/>
      <c r="C773" s="403"/>
      <c r="D773" s="404"/>
      <c r="E773" s="405"/>
      <c r="F773" s="406"/>
      <c r="G773" s="407"/>
      <c r="H773" s="407"/>
      <c r="I773" s="407"/>
      <c r="J773" s="407"/>
    </row>
    <row r="774" ht="15.75" customHeight="1">
      <c r="A774" s="394"/>
      <c r="B774" s="395"/>
      <c r="C774" s="396"/>
      <c r="D774" s="397"/>
      <c r="E774" s="398"/>
      <c r="F774" s="399"/>
      <c r="G774" s="400"/>
      <c r="H774" s="400"/>
      <c r="I774" s="400"/>
      <c r="J774" s="400"/>
    </row>
    <row r="775" ht="15.75" customHeight="1">
      <c r="A775" s="401"/>
      <c r="B775" s="402"/>
      <c r="C775" s="403"/>
      <c r="D775" s="404"/>
      <c r="E775" s="405"/>
      <c r="F775" s="406"/>
      <c r="G775" s="407"/>
      <c r="H775" s="407"/>
      <c r="I775" s="407"/>
      <c r="J775" s="407"/>
    </row>
    <row r="776" ht="15.75" customHeight="1">
      <c r="A776" s="394"/>
      <c r="B776" s="395"/>
      <c r="C776" s="396"/>
      <c r="D776" s="397"/>
      <c r="E776" s="398"/>
      <c r="F776" s="399"/>
      <c r="G776" s="400"/>
      <c r="H776" s="400"/>
      <c r="I776" s="400"/>
      <c r="J776" s="400"/>
    </row>
    <row r="777" ht="15.75" customHeight="1">
      <c r="A777" s="401"/>
      <c r="B777" s="402"/>
      <c r="C777" s="403"/>
      <c r="D777" s="404"/>
      <c r="E777" s="405"/>
      <c r="F777" s="406"/>
      <c r="G777" s="407"/>
      <c r="H777" s="407"/>
      <c r="I777" s="407"/>
      <c r="J777" s="407"/>
    </row>
    <row r="778" ht="15.75" customHeight="1">
      <c r="A778" s="394"/>
      <c r="B778" s="395"/>
      <c r="C778" s="396"/>
      <c r="D778" s="397"/>
      <c r="E778" s="398"/>
      <c r="F778" s="399"/>
      <c r="G778" s="400"/>
      <c r="H778" s="400"/>
      <c r="I778" s="400"/>
      <c r="J778" s="400"/>
    </row>
    <row r="779" ht="15.75" customHeight="1">
      <c r="A779" s="401"/>
      <c r="B779" s="402"/>
      <c r="C779" s="403"/>
      <c r="D779" s="404"/>
      <c r="E779" s="405"/>
      <c r="F779" s="406"/>
      <c r="G779" s="407"/>
      <c r="H779" s="407"/>
      <c r="I779" s="407"/>
      <c r="J779" s="407"/>
    </row>
    <row r="780" ht="15.75" customHeight="1">
      <c r="A780" s="394"/>
      <c r="B780" s="395"/>
      <c r="C780" s="396"/>
      <c r="D780" s="397"/>
      <c r="E780" s="398"/>
      <c r="F780" s="399"/>
      <c r="G780" s="400"/>
      <c r="H780" s="400"/>
      <c r="I780" s="400"/>
      <c r="J780" s="400"/>
    </row>
    <row r="781" ht="15.75" customHeight="1">
      <c r="A781" s="401"/>
      <c r="B781" s="402"/>
      <c r="C781" s="403"/>
      <c r="D781" s="404"/>
      <c r="E781" s="405"/>
      <c r="F781" s="406"/>
      <c r="G781" s="407"/>
      <c r="H781" s="407"/>
      <c r="I781" s="407"/>
      <c r="J781" s="407"/>
    </row>
    <row r="782" ht="15.75" customHeight="1">
      <c r="A782" s="394"/>
      <c r="B782" s="395"/>
      <c r="C782" s="396"/>
      <c r="D782" s="397"/>
      <c r="E782" s="398"/>
      <c r="F782" s="399"/>
      <c r="G782" s="400"/>
      <c r="H782" s="400"/>
      <c r="I782" s="400"/>
      <c r="J782" s="400"/>
    </row>
    <row r="783" ht="15.75" customHeight="1">
      <c r="A783" s="401"/>
      <c r="B783" s="402"/>
      <c r="C783" s="403"/>
      <c r="D783" s="404"/>
      <c r="E783" s="405"/>
      <c r="F783" s="406"/>
      <c r="G783" s="407"/>
      <c r="H783" s="407"/>
      <c r="I783" s="407"/>
      <c r="J783" s="407"/>
    </row>
    <row r="784" ht="15.75" customHeight="1">
      <c r="A784" s="394"/>
      <c r="B784" s="395"/>
      <c r="C784" s="396"/>
      <c r="D784" s="397"/>
      <c r="E784" s="398"/>
      <c r="F784" s="399"/>
      <c r="G784" s="400"/>
      <c r="H784" s="400"/>
      <c r="I784" s="400"/>
      <c r="J784" s="400"/>
    </row>
    <row r="785" ht="15.75" customHeight="1">
      <c r="A785" s="401"/>
      <c r="B785" s="402"/>
      <c r="C785" s="403"/>
      <c r="D785" s="404"/>
      <c r="E785" s="405"/>
      <c r="F785" s="406"/>
      <c r="G785" s="407"/>
      <c r="H785" s="407"/>
      <c r="I785" s="407"/>
      <c r="J785" s="407"/>
    </row>
    <row r="786" ht="15.75" customHeight="1">
      <c r="A786" s="394"/>
      <c r="B786" s="395"/>
      <c r="C786" s="396"/>
      <c r="D786" s="397"/>
      <c r="E786" s="398"/>
      <c r="F786" s="399"/>
      <c r="G786" s="400"/>
      <c r="H786" s="400"/>
      <c r="I786" s="400"/>
      <c r="J786" s="400"/>
    </row>
    <row r="787" ht="15.75" customHeight="1">
      <c r="A787" s="401"/>
      <c r="B787" s="402"/>
      <c r="C787" s="403"/>
      <c r="D787" s="404"/>
      <c r="E787" s="405"/>
      <c r="F787" s="406"/>
      <c r="G787" s="407"/>
      <c r="H787" s="407"/>
      <c r="I787" s="407"/>
      <c r="J787" s="407"/>
    </row>
    <row r="788" ht="15.75" customHeight="1">
      <c r="A788" s="394"/>
      <c r="B788" s="395"/>
      <c r="C788" s="396"/>
      <c r="D788" s="397"/>
      <c r="E788" s="398"/>
      <c r="F788" s="399"/>
      <c r="G788" s="400"/>
      <c r="H788" s="400"/>
      <c r="I788" s="400"/>
      <c r="J788" s="400"/>
    </row>
    <row r="789" ht="15.75" customHeight="1">
      <c r="A789" s="401"/>
      <c r="B789" s="402"/>
      <c r="C789" s="403"/>
      <c r="D789" s="404"/>
      <c r="E789" s="405"/>
      <c r="F789" s="406"/>
      <c r="G789" s="407"/>
      <c r="H789" s="407"/>
      <c r="I789" s="407"/>
      <c r="J789" s="407"/>
    </row>
    <row r="790" ht="15.75" customHeight="1">
      <c r="A790" s="394"/>
      <c r="B790" s="395"/>
      <c r="C790" s="396"/>
      <c r="D790" s="397"/>
      <c r="E790" s="398"/>
      <c r="F790" s="399"/>
      <c r="G790" s="400"/>
      <c r="H790" s="408"/>
      <c r="I790" s="408"/>
      <c r="J790" s="409"/>
    </row>
    <row r="791" ht="15.75" customHeight="1">
      <c r="A791" s="401"/>
      <c r="B791" s="402"/>
      <c r="C791" s="403"/>
      <c r="D791" s="404"/>
      <c r="E791" s="405"/>
      <c r="F791" s="406"/>
      <c r="G791" s="407"/>
      <c r="H791" s="407"/>
      <c r="I791" s="407"/>
      <c r="J791" s="407"/>
    </row>
    <row r="792" ht="15.75" customHeight="1">
      <c r="A792" s="394"/>
      <c r="B792" s="395"/>
      <c r="C792" s="396"/>
      <c r="D792" s="397"/>
      <c r="E792" s="398"/>
      <c r="F792" s="399"/>
      <c r="G792" s="400"/>
      <c r="H792" s="400"/>
      <c r="I792" s="400"/>
      <c r="J792" s="400"/>
    </row>
    <row r="793" ht="15.75" customHeight="1">
      <c r="A793" s="401"/>
      <c r="B793" s="402"/>
      <c r="C793" s="403"/>
      <c r="D793" s="404"/>
      <c r="E793" s="405"/>
      <c r="F793" s="406"/>
      <c r="G793" s="407"/>
      <c r="H793" s="407"/>
      <c r="I793" s="407"/>
      <c r="J793" s="407"/>
    </row>
    <row r="794" ht="15.75" customHeight="1">
      <c r="A794" s="394"/>
      <c r="B794" s="395"/>
      <c r="C794" s="396"/>
      <c r="D794" s="397"/>
      <c r="E794" s="398"/>
      <c r="F794" s="399"/>
      <c r="G794" s="400"/>
      <c r="H794" s="400"/>
      <c r="I794" s="400"/>
      <c r="J794" s="400"/>
    </row>
    <row r="795" ht="15.75" customHeight="1">
      <c r="A795" s="401"/>
      <c r="B795" s="402"/>
      <c r="C795" s="403"/>
      <c r="D795" s="404"/>
      <c r="E795" s="405"/>
      <c r="F795" s="406"/>
      <c r="G795" s="407"/>
      <c r="H795" s="407"/>
      <c r="I795" s="407"/>
      <c r="J795" s="407"/>
    </row>
    <row r="796" ht="15.75" customHeight="1">
      <c r="A796" s="394"/>
      <c r="B796" s="395"/>
      <c r="C796" s="396"/>
      <c r="D796" s="397"/>
      <c r="E796" s="398"/>
      <c r="F796" s="399"/>
      <c r="G796" s="400"/>
      <c r="H796" s="400"/>
      <c r="I796" s="400"/>
      <c r="J796" s="400"/>
    </row>
    <row r="797" ht="15.75" customHeight="1">
      <c r="A797" s="401"/>
      <c r="B797" s="402"/>
      <c r="C797" s="403"/>
      <c r="D797" s="404"/>
      <c r="E797" s="405"/>
      <c r="F797" s="406"/>
      <c r="G797" s="407"/>
      <c r="H797" s="407"/>
      <c r="I797" s="407"/>
      <c r="J797" s="407"/>
    </row>
    <row r="798" ht="15.75" customHeight="1">
      <c r="A798" s="394"/>
      <c r="B798" s="395"/>
      <c r="C798" s="396"/>
      <c r="D798" s="397"/>
      <c r="E798" s="398"/>
      <c r="F798" s="399"/>
      <c r="G798" s="400"/>
      <c r="H798" s="400"/>
      <c r="I798" s="400"/>
      <c r="J798" s="400"/>
    </row>
    <row r="799" ht="15.75" customHeight="1">
      <c r="A799" s="401"/>
      <c r="B799" s="402"/>
      <c r="C799" s="403"/>
      <c r="D799" s="404"/>
      <c r="E799" s="405"/>
      <c r="F799" s="406"/>
      <c r="G799" s="407"/>
      <c r="H799" s="407"/>
      <c r="I799" s="407"/>
      <c r="J799" s="407"/>
    </row>
    <row r="800" ht="15.75" customHeight="1">
      <c r="A800" s="394"/>
      <c r="B800" s="395"/>
      <c r="C800" s="396"/>
      <c r="D800" s="397"/>
      <c r="E800" s="398"/>
      <c r="F800" s="399"/>
      <c r="G800" s="400"/>
      <c r="H800" s="400"/>
      <c r="I800" s="400"/>
      <c r="J800" s="400"/>
    </row>
    <row r="801" ht="15.75" customHeight="1">
      <c r="A801" s="401"/>
      <c r="B801" s="402"/>
      <c r="C801" s="403"/>
      <c r="D801" s="404"/>
      <c r="E801" s="405"/>
      <c r="F801" s="406"/>
      <c r="G801" s="407"/>
      <c r="H801" s="407"/>
      <c r="I801" s="407"/>
      <c r="J801" s="407"/>
    </row>
    <row r="802" ht="15.75" customHeight="1">
      <c r="A802" s="394"/>
      <c r="B802" s="395"/>
      <c r="C802" s="396"/>
      <c r="D802" s="397"/>
      <c r="E802" s="398"/>
      <c r="F802" s="399"/>
      <c r="G802" s="400"/>
      <c r="H802" s="400"/>
      <c r="I802" s="400"/>
      <c r="J802" s="400"/>
    </row>
    <row r="803" ht="15.75" customHeight="1">
      <c r="A803" s="401"/>
      <c r="B803" s="402"/>
      <c r="C803" s="403"/>
      <c r="D803" s="404"/>
      <c r="E803" s="405"/>
      <c r="F803" s="406"/>
      <c r="G803" s="407"/>
      <c r="H803" s="407"/>
      <c r="I803" s="407"/>
      <c r="J803" s="407"/>
    </row>
    <row r="804" ht="15.75" customHeight="1">
      <c r="A804" s="394"/>
      <c r="B804" s="395"/>
      <c r="C804" s="396"/>
      <c r="D804" s="397"/>
      <c r="E804" s="398"/>
      <c r="F804" s="399"/>
      <c r="G804" s="400"/>
      <c r="H804" s="400"/>
      <c r="I804" s="400"/>
      <c r="J804" s="400"/>
    </row>
    <row r="805" ht="15.75" customHeight="1">
      <c r="A805" s="401"/>
      <c r="B805" s="402"/>
      <c r="C805" s="403"/>
      <c r="D805" s="404"/>
      <c r="E805" s="405"/>
      <c r="F805" s="406"/>
      <c r="G805" s="407"/>
      <c r="H805" s="407"/>
      <c r="I805" s="407"/>
      <c r="J805" s="407"/>
    </row>
    <row r="806" ht="15.75" customHeight="1">
      <c r="A806" s="394"/>
      <c r="B806" s="395"/>
      <c r="C806" s="396"/>
      <c r="D806" s="397"/>
      <c r="E806" s="398"/>
      <c r="F806" s="399"/>
      <c r="G806" s="400"/>
      <c r="H806" s="400"/>
      <c r="I806" s="400"/>
      <c r="J806" s="400"/>
    </row>
    <row r="807" ht="15.75" customHeight="1">
      <c r="A807" s="401"/>
      <c r="B807" s="402"/>
      <c r="C807" s="403"/>
      <c r="D807" s="404"/>
      <c r="E807" s="405"/>
      <c r="F807" s="406"/>
      <c r="G807" s="407"/>
      <c r="H807" s="407"/>
      <c r="I807" s="407"/>
      <c r="J807" s="407"/>
    </row>
    <row r="808" ht="15.75" customHeight="1">
      <c r="A808" s="394"/>
      <c r="B808" s="395"/>
      <c r="C808" s="396"/>
      <c r="D808" s="397"/>
      <c r="E808" s="398"/>
      <c r="F808" s="399"/>
      <c r="G808" s="400"/>
      <c r="H808" s="400"/>
      <c r="I808" s="400"/>
      <c r="J808" s="400"/>
    </row>
    <row r="809" ht="15.75" customHeight="1">
      <c r="A809" s="401"/>
      <c r="B809" s="402"/>
      <c r="C809" s="403"/>
      <c r="D809" s="404"/>
      <c r="E809" s="405"/>
      <c r="F809" s="406"/>
      <c r="G809" s="407"/>
      <c r="H809" s="407"/>
      <c r="I809" s="407"/>
      <c r="J809" s="407"/>
    </row>
    <row r="810" ht="15.75" customHeight="1">
      <c r="A810" s="394"/>
      <c r="B810" s="395"/>
      <c r="C810" s="396"/>
      <c r="D810" s="397"/>
      <c r="E810" s="398"/>
      <c r="F810" s="399"/>
      <c r="G810" s="400"/>
      <c r="H810" s="400"/>
      <c r="I810" s="400"/>
      <c r="J810" s="400"/>
    </row>
    <row r="811" ht="15.75" customHeight="1">
      <c r="A811" s="401"/>
      <c r="B811" s="402"/>
      <c r="C811" s="403"/>
      <c r="D811" s="404"/>
      <c r="E811" s="405"/>
      <c r="F811" s="406"/>
      <c r="G811" s="407"/>
      <c r="H811" s="407"/>
      <c r="I811" s="407"/>
      <c r="J811" s="407"/>
    </row>
    <row r="812" ht="15.75" customHeight="1">
      <c r="A812" s="394"/>
      <c r="B812" s="395"/>
      <c r="C812" s="396"/>
      <c r="D812" s="397"/>
      <c r="E812" s="398"/>
      <c r="F812" s="399"/>
      <c r="G812" s="400"/>
      <c r="H812" s="400"/>
      <c r="I812" s="400"/>
      <c r="J812" s="400"/>
    </row>
    <row r="813" ht="15.75" customHeight="1">
      <c r="A813" s="401"/>
      <c r="B813" s="402"/>
      <c r="C813" s="403"/>
      <c r="D813" s="404"/>
      <c r="E813" s="405"/>
      <c r="F813" s="406"/>
      <c r="G813" s="407"/>
      <c r="H813" s="407"/>
      <c r="I813" s="407"/>
      <c r="J813" s="407"/>
    </row>
    <row r="814" ht="15.75" customHeight="1">
      <c r="A814" s="394"/>
      <c r="B814" s="395"/>
      <c r="C814" s="396"/>
      <c r="D814" s="397"/>
      <c r="E814" s="398"/>
      <c r="F814" s="399"/>
      <c r="G814" s="400"/>
      <c r="H814" s="400"/>
      <c r="I814" s="400"/>
      <c r="J814" s="400"/>
    </row>
    <row r="815" ht="15.75" customHeight="1">
      <c r="A815" s="401"/>
      <c r="B815" s="402"/>
      <c r="C815" s="403"/>
      <c r="D815" s="404"/>
      <c r="E815" s="405"/>
      <c r="F815" s="406"/>
      <c r="G815" s="407"/>
      <c r="H815" s="407"/>
      <c r="I815" s="407"/>
      <c r="J815" s="407"/>
    </row>
    <row r="816" ht="15.75" customHeight="1">
      <c r="A816" s="394"/>
      <c r="B816" s="395"/>
      <c r="C816" s="396"/>
      <c r="D816" s="397"/>
      <c r="E816" s="398"/>
      <c r="F816" s="399"/>
      <c r="G816" s="400"/>
      <c r="H816" s="400"/>
      <c r="I816" s="400"/>
      <c r="J816" s="400"/>
    </row>
    <row r="817" ht="15.75" customHeight="1">
      <c r="A817" s="401"/>
      <c r="B817" s="402"/>
      <c r="C817" s="403"/>
      <c r="D817" s="404"/>
      <c r="E817" s="405"/>
      <c r="F817" s="406"/>
      <c r="G817" s="407"/>
      <c r="H817" s="407"/>
      <c r="I817" s="407"/>
      <c r="J817" s="407"/>
    </row>
    <row r="818" ht="15.75" customHeight="1">
      <c r="A818" s="394"/>
      <c r="B818" s="395"/>
      <c r="C818" s="396"/>
      <c r="D818" s="397"/>
      <c r="E818" s="398"/>
      <c r="F818" s="399"/>
      <c r="G818" s="400"/>
      <c r="H818" s="400"/>
      <c r="I818" s="400"/>
      <c r="J818" s="400"/>
    </row>
    <row r="819" ht="15.75" customHeight="1">
      <c r="A819" s="401"/>
      <c r="B819" s="402"/>
      <c r="C819" s="403"/>
      <c r="D819" s="404"/>
      <c r="E819" s="405"/>
      <c r="F819" s="406"/>
      <c r="G819" s="407"/>
      <c r="H819" s="407"/>
      <c r="I819" s="407"/>
      <c r="J819" s="407"/>
    </row>
    <row r="820" ht="15.75" customHeight="1">
      <c r="A820" s="394"/>
      <c r="B820" s="395"/>
      <c r="C820" s="396"/>
      <c r="D820" s="397"/>
      <c r="E820" s="398"/>
      <c r="F820" s="399"/>
      <c r="G820" s="400"/>
      <c r="H820" s="400"/>
      <c r="I820" s="400"/>
      <c r="J820" s="400"/>
    </row>
    <row r="821" ht="15.75" customHeight="1">
      <c r="A821" s="401"/>
      <c r="B821" s="402"/>
      <c r="C821" s="403"/>
      <c r="D821" s="404"/>
      <c r="E821" s="405"/>
      <c r="F821" s="406"/>
      <c r="G821" s="407"/>
      <c r="H821" s="407"/>
      <c r="I821" s="407"/>
      <c r="J821" s="407"/>
    </row>
    <row r="822" ht="6.0" customHeight="1">
      <c r="A822" s="334"/>
      <c r="B822" s="334"/>
      <c r="C822" s="335"/>
      <c r="D822" s="336"/>
      <c r="E822" s="334"/>
      <c r="F822" s="334"/>
      <c r="G822" s="334"/>
      <c r="H822" s="334"/>
      <c r="I822" s="334"/>
      <c r="J822" s="334"/>
    </row>
    <row r="823" ht="24.0" customHeight="1">
      <c r="A823" s="313" t="s">
        <v>520</v>
      </c>
      <c r="B823" s="55"/>
      <c r="C823" s="55"/>
      <c r="D823" s="55"/>
      <c r="E823" s="55"/>
      <c r="F823" s="56"/>
      <c r="G823" s="314"/>
      <c r="H823" s="315">
        <f>SUM(D824:D972)</f>
        <v>0</v>
      </c>
      <c r="I823" s="316"/>
      <c r="J823" s="317" t="str">
        <f>IF(I823&gt;0,H823/I823,"")</f>
        <v/>
      </c>
    </row>
    <row r="824" ht="15.75" customHeight="1">
      <c r="A824" s="318"/>
      <c r="B824" s="319"/>
      <c r="C824" s="320"/>
      <c r="D824" s="321"/>
      <c r="E824" s="322"/>
      <c r="F824" s="323"/>
      <c r="G824" s="324"/>
      <c r="H824" s="324"/>
      <c r="I824" s="324"/>
      <c r="J824" s="324"/>
    </row>
    <row r="825" ht="15.75" customHeight="1">
      <c r="A825" s="325"/>
      <c r="B825" s="326"/>
      <c r="C825" s="327"/>
      <c r="D825" s="328"/>
      <c r="E825" s="329"/>
      <c r="F825" s="330"/>
      <c r="G825" s="331"/>
      <c r="H825" s="331"/>
      <c r="I825" s="331"/>
      <c r="J825" s="331"/>
    </row>
    <row r="826" ht="15.75" customHeight="1">
      <c r="A826" s="318"/>
      <c r="B826" s="319"/>
      <c r="C826" s="320"/>
      <c r="D826" s="321"/>
      <c r="E826" s="322"/>
      <c r="F826" s="323"/>
      <c r="G826" s="324"/>
      <c r="H826" s="324"/>
      <c r="I826" s="324"/>
      <c r="J826" s="324"/>
    </row>
    <row r="827" ht="15.75" customHeight="1">
      <c r="A827" s="325"/>
      <c r="B827" s="326"/>
      <c r="C827" s="327"/>
      <c r="D827" s="328"/>
      <c r="E827" s="329"/>
      <c r="F827" s="330"/>
      <c r="G827" s="331"/>
      <c r="H827" s="331"/>
      <c r="I827" s="331"/>
      <c r="J827" s="331"/>
    </row>
    <row r="828" ht="15.75" customHeight="1">
      <c r="A828" s="318"/>
      <c r="B828" s="319"/>
      <c r="C828" s="320"/>
      <c r="D828" s="321"/>
      <c r="E828" s="322"/>
      <c r="F828" s="323"/>
      <c r="G828" s="324"/>
      <c r="H828" s="324"/>
      <c r="I828" s="324"/>
      <c r="J828" s="324"/>
    </row>
    <row r="829" ht="15.75" customHeight="1">
      <c r="A829" s="325"/>
      <c r="B829" s="326"/>
      <c r="C829" s="327"/>
      <c r="D829" s="328"/>
      <c r="E829" s="329"/>
      <c r="F829" s="330"/>
      <c r="G829" s="331"/>
      <c r="H829" s="331"/>
      <c r="I829" s="331"/>
      <c r="J829" s="331"/>
    </row>
    <row r="830" ht="15.75" customHeight="1">
      <c r="A830" s="318"/>
      <c r="B830" s="319"/>
      <c r="C830" s="320"/>
      <c r="D830" s="321"/>
      <c r="E830" s="322"/>
      <c r="F830" s="323"/>
      <c r="G830" s="324"/>
      <c r="H830" s="324"/>
      <c r="I830" s="324"/>
      <c r="J830" s="324"/>
    </row>
    <row r="831" ht="15.75" customHeight="1">
      <c r="A831" s="325"/>
      <c r="B831" s="326"/>
      <c r="C831" s="327"/>
      <c r="D831" s="328"/>
      <c r="E831" s="329"/>
      <c r="F831" s="330"/>
      <c r="G831" s="331"/>
      <c r="H831" s="331"/>
      <c r="I831" s="331"/>
      <c r="J831" s="331"/>
    </row>
    <row r="832" ht="15.75" customHeight="1">
      <c r="A832" s="318"/>
      <c r="B832" s="319"/>
      <c r="C832" s="320"/>
      <c r="D832" s="321"/>
      <c r="E832" s="322"/>
      <c r="F832" s="323"/>
      <c r="G832" s="324"/>
      <c r="H832" s="324"/>
      <c r="I832" s="324"/>
      <c r="J832" s="324"/>
    </row>
    <row r="833" ht="15.75" customHeight="1">
      <c r="A833" s="325"/>
      <c r="B833" s="326"/>
      <c r="C833" s="327"/>
      <c r="D833" s="328"/>
      <c r="E833" s="329"/>
      <c r="F833" s="330"/>
      <c r="G833" s="331"/>
      <c r="H833" s="331"/>
      <c r="I833" s="331"/>
      <c r="J833" s="331"/>
    </row>
    <row r="834" ht="15.75" customHeight="1">
      <c r="A834" s="318"/>
      <c r="B834" s="319"/>
      <c r="C834" s="320"/>
      <c r="D834" s="321"/>
      <c r="E834" s="322"/>
      <c r="F834" s="323"/>
      <c r="G834" s="324"/>
      <c r="H834" s="324"/>
      <c r="I834" s="324"/>
      <c r="J834" s="324"/>
    </row>
    <row r="835" ht="15.75" customHeight="1">
      <c r="A835" s="325"/>
      <c r="B835" s="326"/>
      <c r="C835" s="327"/>
      <c r="D835" s="328"/>
      <c r="E835" s="329"/>
      <c r="F835" s="330"/>
      <c r="G835" s="331"/>
      <c r="H835" s="331"/>
      <c r="I835" s="331"/>
      <c r="J835" s="331"/>
    </row>
    <row r="836" ht="15.75" customHeight="1">
      <c r="A836" s="318"/>
      <c r="B836" s="319"/>
      <c r="C836" s="320"/>
      <c r="D836" s="321"/>
      <c r="E836" s="322"/>
      <c r="F836" s="323"/>
      <c r="G836" s="324"/>
      <c r="H836" s="324"/>
      <c r="I836" s="324"/>
      <c r="J836" s="324"/>
    </row>
    <row r="837" ht="15.75" customHeight="1">
      <c r="A837" s="325"/>
      <c r="B837" s="326"/>
      <c r="C837" s="327"/>
      <c r="D837" s="328"/>
      <c r="E837" s="329"/>
      <c r="F837" s="330"/>
      <c r="G837" s="331"/>
      <c r="H837" s="331"/>
      <c r="I837" s="331"/>
      <c r="J837" s="331"/>
    </row>
    <row r="838" ht="15.75" customHeight="1">
      <c r="A838" s="318"/>
      <c r="B838" s="319"/>
      <c r="C838" s="320"/>
      <c r="D838" s="321"/>
      <c r="E838" s="322"/>
      <c r="F838" s="323"/>
      <c r="G838" s="324"/>
      <c r="H838" s="324"/>
      <c r="I838" s="324"/>
      <c r="J838" s="324"/>
    </row>
    <row r="839" ht="15.75" customHeight="1">
      <c r="A839" s="325"/>
      <c r="B839" s="326"/>
      <c r="C839" s="327"/>
      <c r="D839" s="328"/>
      <c r="E839" s="329"/>
      <c r="F839" s="330"/>
      <c r="G839" s="331"/>
      <c r="H839" s="331"/>
      <c r="I839" s="331"/>
      <c r="J839" s="331"/>
    </row>
    <row r="840" ht="15.75" customHeight="1">
      <c r="A840" s="318"/>
      <c r="B840" s="319"/>
      <c r="C840" s="320"/>
      <c r="D840" s="321"/>
      <c r="E840" s="322"/>
      <c r="F840" s="323"/>
      <c r="G840" s="324"/>
      <c r="H840" s="324"/>
      <c r="I840" s="324"/>
      <c r="J840" s="324"/>
    </row>
    <row r="841" ht="15.75" customHeight="1">
      <c r="A841" s="325"/>
      <c r="B841" s="326"/>
      <c r="C841" s="327"/>
      <c r="D841" s="328"/>
      <c r="E841" s="329"/>
      <c r="F841" s="330"/>
      <c r="G841" s="331"/>
      <c r="H841" s="331"/>
      <c r="I841" s="331"/>
      <c r="J841" s="331"/>
    </row>
    <row r="842" ht="15.75" customHeight="1">
      <c r="A842" s="318"/>
      <c r="B842" s="319"/>
      <c r="C842" s="320"/>
      <c r="D842" s="321"/>
      <c r="E842" s="322"/>
      <c r="F842" s="323"/>
      <c r="G842" s="324"/>
      <c r="H842" s="324"/>
      <c r="I842" s="324"/>
      <c r="J842" s="324"/>
    </row>
    <row r="843" ht="15.75" customHeight="1">
      <c r="A843" s="325"/>
      <c r="B843" s="326"/>
      <c r="C843" s="327"/>
      <c r="D843" s="328"/>
      <c r="E843" s="329"/>
      <c r="F843" s="330"/>
      <c r="G843" s="331"/>
      <c r="H843" s="331"/>
      <c r="I843" s="331"/>
      <c r="J843" s="331"/>
    </row>
    <row r="844" ht="15.75" customHeight="1">
      <c r="A844" s="318"/>
      <c r="B844" s="319"/>
      <c r="C844" s="320"/>
      <c r="D844" s="321"/>
      <c r="E844" s="322"/>
      <c r="F844" s="323"/>
      <c r="G844" s="324"/>
      <c r="H844" s="324"/>
      <c r="I844" s="324"/>
      <c r="J844" s="324"/>
    </row>
    <row r="845" ht="15.75" customHeight="1">
      <c r="A845" s="325"/>
      <c r="B845" s="326"/>
      <c r="C845" s="327"/>
      <c r="D845" s="328"/>
      <c r="E845" s="329"/>
      <c r="F845" s="330"/>
      <c r="G845" s="331"/>
      <c r="H845" s="331"/>
      <c r="I845" s="331"/>
      <c r="J845" s="331"/>
    </row>
    <row r="846" ht="15.75" customHeight="1">
      <c r="A846" s="318"/>
      <c r="B846" s="319"/>
      <c r="C846" s="320"/>
      <c r="D846" s="321"/>
      <c r="E846" s="322"/>
      <c r="F846" s="323"/>
      <c r="G846" s="324"/>
      <c r="H846" s="324"/>
      <c r="I846" s="324"/>
      <c r="J846" s="324"/>
    </row>
    <row r="847" ht="15.75" customHeight="1">
      <c r="A847" s="325"/>
      <c r="B847" s="326"/>
      <c r="C847" s="327"/>
      <c r="D847" s="328"/>
      <c r="E847" s="329"/>
      <c r="F847" s="330"/>
      <c r="G847" s="331"/>
      <c r="H847" s="331"/>
      <c r="I847" s="331"/>
      <c r="J847" s="331"/>
    </row>
    <row r="848" ht="15.75" customHeight="1">
      <c r="A848" s="318"/>
      <c r="B848" s="319"/>
      <c r="C848" s="320"/>
      <c r="D848" s="321"/>
      <c r="E848" s="322"/>
      <c r="F848" s="323"/>
      <c r="G848" s="324"/>
      <c r="H848" s="324"/>
      <c r="I848" s="324"/>
      <c r="J848" s="324"/>
    </row>
    <row r="849" ht="15.75" customHeight="1">
      <c r="A849" s="325"/>
      <c r="B849" s="326"/>
      <c r="C849" s="327"/>
      <c r="D849" s="328"/>
      <c r="E849" s="329"/>
      <c r="F849" s="330"/>
      <c r="G849" s="331"/>
      <c r="H849" s="331"/>
      <c r="I849" s="331"/>
      <c r="J849" s="331"/>
    </row>
    <row r="850" ht="15.75" customHeight="1">
      <c r="A850" s="318"/>
      <c r="B850" s="319"/>
      <c r="C850" s="320"/>
      <c r="D850" s="321"/>
      <c r="E850" s="322"/>
      <c r="F850" s="323"/>
      <c r="G850" s="324"/>
      <c r="H850" s="324"/>
      <c r="I850" s="324"/>
      <c r="J850" s="324"/>
    </row>
    <row r="851" ht="15.75" customHeight="1">
      <c r="A851" s="325"/>
      <c r="B851" s="326"/>
      <c r="C851" s="327"/>
      <c r="D851" s="328"/>
      <c r="E851" s="329"/>
      <c r="F851" s="330"/>
      <c r="G851" s="331"/>
      <c r="H851" s="331"/>
      <c r="I851" s="331"/>
      <c r="J851" s="331"/>
    </row>
    <row r="852" ht="15.75" customHeight="1">
      <c r="A852" s="318"/>
      <c r="B852" s="319"/>
      <c r="C852" s="320"/>
      <c r="D852" s="321"/>
      <c r="E852" s="322"/>
      <c r="F852" s="323"/>
      <c r="G852" s="324"/>
      <c r="H852" s="324"/>
      <c r="I852" s="324"/>
      <c r="J852" s="324"/>
    </row>
    <row r="853" ht="15.75" customHeight="1">
      <c r="A853" s="325"/>
      <c r="B853" s="326"/>
      <c r="C853" s="327"/>
      <c r="D853" s="328"/>
      <c r="E853" s="329"/>
      <c r="F853" s="330"/>
      <c r="G853" s="331"/>
      <c r="H853" s="331"/>
      <c r="I853" s="331"/>
      <c r="J853" s="331"/>
    </row>
    <row r="854" ht="15.75" customHeight="1">
      <c r="A854" s="318"/>
      <c r="B854" s="319"/>
      <c r="C854" s="320"/>
      <c r="D854" s="321"/>
      <c r="E854" s="322"/>
      <c r="F854" s="323"/>
      <c r="G854" s="324"/>
      <c r="H854" s="324"/>
      <c r="I854" s="324"/>
      <c r="J854" s="324"/>
    </row>
    <row r="855" ht="15.75" customHeight="1">
      <c r="A855" s="325"/>
      <c r="B855" s="326"/>
      <c r="C855" s="327"/>
      <c r="D855" s="328"/>
      <c r="E855" s="329"/>
      <c r="F855" s="330"/>
      <c r="G855" s="331"/>
      <c r="H855" s="331"/>
      <c r="I855" s="331"/>
      <c r="J855" s="331"/>
    </row>
    <row r="856" ht="15.75" customHeight="1">
      <c r="A856" s="318"/>
      <c r="B856" s="319"/>
      <c r="C856" s="320"/>
      <c r="D856" s="321"/>
      <c r="E856" s="322"/>
      <c r="F856" s="323"/>
      <c r="G856" s="324"/>
      <c r="H856" s="324"/>
      <c r="I856" s="324"/>
      <c r="J856" s="324"/>
    </row>
    <row r="857" ht="15.75" customHeight="1">
      <c r="A857" s="325"/>
      <c r="B857" s="326"/>
      <c r="C857" s="327"/>
      <c r="D857" s="328"/>
      <c r="E857" s="329"/>
      <c r="F857" s="330"/>
      <c r="G857" s="331"/>
      <c r="H857" s="331"/>
      <c r="I857" s="331"/>
      <c r="J857" s="331"/>
    </row>
    <row r="858" ht="15.75" customHeight="1">
      <c r="A858" s="318"/>
      <c r="B858" s="319"/>
      <c r="C858" s="320"/>
      <c r="D858" s="321"/>
      <c r="E858" s="322"/>
      <c r="F858" s="323"/>
      <c r="G858" s="324"/>
      <c r="H858" s="324"/>
      <c r="I858" s="324"/>
      <c r="J858" s="324"/>
    </row>
    <row r="859" ht="15.75" customHeight="1">
      <c r="A859" s="325"/>
      <c r="B859" s="326"/>
      <c r="C859" s="327"/>
      <c r="D859" s="328"/>
      <c r="E859" s="329"/>
      <c r="F859" s="330"/>
      <c r="G859" s="331"/>
      <c r="H859" s="331"/>
      <c r="I859" s="331"/>
      <c r="J859" s="331"/>
    </row>
    <row r="860" ht="15.75" customHeight="1">
      <c r="A860" s="318"/>
      <c r="B860" s="319"/>
      <c r="C860" s="320"/>
      <c r="D860" s="321"/>
      <c r="E860" s="322"/>
      <c r="F860" s="323"/>
      <c r="G860" s="324"/>
      <c r="H860" s="324"/>
      <c r="I860" s="324"/>
      <c r="J860" s="324"/>
    </row>
    <row r="861" ht="15.75" customHeight="1">
      <c r="A861" s="325"/>
      <c r="B861" s="326"/>
      <c r="C861" s="327"/>
      <c r="D861" s="328"/>
      <c r="E861" s="329"/>
      <c r="F861" s="330"/>
      <c r="G861" s="331"/>
      <c r="H861" s="331"/>
      <c r="I861" s="331"/>
      <c r="J861" s="331"/>
    </row>
    <row r="862" ht="15.75" customHeight="1">
      <c r="A862" s="318"/>
      <c r="B862" s="319"/>
      <c r="C862" s="320"/>
      <c r="D862" s="321"/>
      <c r="E862" s="322"/>
      <c r="F862" s="323"/>
      <c r="G862" s="324"/>
      <c r="H862" s="324"/>
      <c r="I862" s="324"/>
      <c r="J862" s="324"/>
    </row>
    <row r="863" ht="15.75" customHeight="1">
      <c r="A863" s="325"/>
      <c r="B863" s="326"/>
      <c r="C863" s="327"/>
      <c r="D863" s="328"/>
      <c r="E863" s="329"/>
      <c r="F863" s="330"/>
      <c r="G863" s="331"/>
      <c r="H863" s="331"/>
      <c r="I863" s="331"/>
      <c r="J863" s="331"/>
    </row>
    <row r="864" ht="15.75" customHeight="1">
      <c r="A864" s="318"/>
      <c r="B864" s="319"/>
      <c r="C864" s="320"/>
      <c r="D864" s="321"/>
      <c r="E864" s="322"/>
      <c r="F864" s="323"/>
      <c r="G864" s="324"/>
      <c r="H864" s="324"/>
      <c r="I864" s="324"/>
      <c r="J864" s="324"/>
    </row>
    <row r="865" ht="15.75" customHeight="1">
      <c r="A865" s="325"/>
      <c r="B865" s="326"/>
      <c r="C865" s="327"/>
      <c r="D865" s="328"/>
      <c r="E865" s="329"/>
      <c r="F865" s="330"/>
      <c r="G865" s="331"/>
      <c r="H865" s="331"/>
      <c r="I865" s="331"/>
      <c r="J865" s="331"/>
    </row>
    <row r="866" ht="15.75" customHeight="1">
      <c r="A866" s="318"/>
      <c r="B866" s="319"/>
      <c r="C866" s="320"/>
      <c r="D866" s="321"/>
      <c r="E866" s="322"/>
      <c r="F866" s="323"/>
      <c r="G866" s="324"/>
      <c r="H866" s="324"/>
      <c r="I866" s="324"/>
      <c r="J866" s="324"/>
    </row>
    <row r="867" ht="15.75" customHeight="1">
      <c r="A867" s="325"/>
      <c r="B867" s="326"/>
      <c r="C867" s="327"/>
      <c r="D867" s="328"/>
      <c r="E867" s="329"/>
      <c r="F867" s="330"/>
      <c r="G867" s="331"/>
      <c r="H867" s="331"/>
      <c r="I867" s="331"/>
      <c r="J867" s="331"/>
    </row>
    <row r="868" ht="15.75" customHeight="1">
      <c r="A868" s="318"/>
      <c r="B868" s="319"/>
      <c r="C868" s="320"/>
      <c r="D868" s="321"/>
      <c r="E868" s="322"/>
      <c r="F868" s="323"/>
      <c r="G868" s="324"/>
      <c r="H868" s="324"/>
      <c r="I868" s="324"/>
      <c r="J868" s="324"/>
    </row>
    <row r="869" ht="15.75" customHeight="1">
      <c r="A869" s="325"/>
      <c r="B869" s="326"/>
      <c r="C869" s="327"/>
      <c r="D869" s="328"/>
      <c r="E869" s="329"/>
      <c r="F869" s="330"/>
      <c r="G869" s="331"/>
      <c r="H869" s="331"/>
      <c r="I869" s="331"/>
      <c r="J869" s="331"/>
    </row>
    <row r="870" ht="15.75" customHeight="1">
      <c r="A870" s="318"/>
      <c r="B870" s="319"/>
      <c r="C870" s="320"/>
      <c r="D870" s="321"/>
      <c r="E870" s="322"/>
      <c r="F870" s="323"/>
      <c r="G870" s="324"/>
      <c r="H870" s="324"/>
      <c r="I870" s="324"/>
      <c r="J870" s="324"/>
    </row>
    <row r="871" ht="15.75" customHeight="1">
      <c r="A871" s="325"/>
      <c r="B871" s="326"/>
      <c r="C871" s="327"/>
      <c r="D871" s="328"/>
      <c r="E871" s="329"/>
      <c r="F871" s="330"/>
      <c r="G871" s="331"/>
      <c r="H871" s="331"/>
      <c r="I871" s="331"/>
      <c r="J871" s="331"/>
    </row>
    <row r="872" ht="15.75" customHeight="1">
      <c r="A872" s="318"/>
      <c r="B872" s="319"/>
      <c r="C872" s="320"/>
      <c r="D872" s="321"/>
      <c r="E872" s="322"/>
      <c r="F872" s="323"/>
      <c r="G872" s="324"/>
      <c r="H872" s="324"/>
      <c r="I872" s="324"/>
      <c r="J872" s="324"/>
    </row>
    <row r="873" ht="15.75" customHeight="1">
      <c r="A873" s="325"/>
      <c r="B873" s="326"/>
      <c r="C873" s="327"/>
      <c r="D873" s="328"/>
      <c r="E873" s="329"/>
      <c r="F873" s="330"/>
      <c r="G873" s="331"/>
      <c r="H873" s="331"/>
      <c r="I873" s="331"/>
      <c r="J873" s="331"/>
    </row>
    <row r="874" ht="15.75" customHeight="1">
      <c r="A874" s="318"/>
      <c r="B874" s="319"/>
      <c r="C874" s="320"/>
      <c r="D874" s="321"/>
      <c r="E874" s="322"/>
      <c r="F874" s="323"/>
      <c r="G874" s="324"/>
      <c r="H874" s="324"/>
      <c r="I874" s="324"/>
      <c r="J874" s="324"/>
    </row>
    <row r="875" ht="15.75" customHeight="1">
      <c r="A875" s="325"/>
      <c r="B875" s="326"/>
      <c r="C875" s="327"/>
      <c r="D875" s="328"/>
      <c r="E875" s="329"/>
      <c r="F875" s="330"/>
      <c r="G875" s="331"/>
      <c r="H875" s="331"/>
      <c r="I875" s="331"/>
      <c r="J875" s="331"/>
    </row>
    <row r="876" ht="15.75" customHeight="1">
      <c r="A876" s="318"/>
      <c r="B876" s="319"/>
      <c r="C876" s="320"/>
      <c r="D876" s="321"/>
      <c r="E876" s="322"/>
      <c r="F876" s="323"/>
      <c r="G876" s="324"/>
      <c r="H876" s="324"/>
      <c r="I876" s="324"/>
      <c r="J876" s="324"/>
    </row>
    <row r="877" ht="15.75" customHeight="1">
      <c r="A877" s="325"/>
      <c r="B877" s="326"/>
      <c r="C877" s="327"/>
      <c r="D877" s="328"/>
      <c r="E877" s="329"/>
      <c r="F877" s="330"/>
      <c r="G877" s="331"/>
      <c r="H877" s="331"/>
      <c r="I877" s="331"/>
      <c r="J877" s="331"/>
    </row>
    <row r="878" ht="15.75" customHeight="1">
      <c r="A878" s="318"/>
      <c r="B878" s="319"/>
      <c r="C878" s="320"/>
      <c r="D878" s="321"/>
      <c r="E878" s="322"/>
      <c r="F878" s="323"/>
      <c r="G878" s="324"/>
      <c r="H878" s="324"/>
      <c r="I878" s="324"/>
      <c r="J878" s="324"/>
    </row>
    <row r="879" ht="15.75" customHeight="1">
      <c r="A879" s="325"/>
      <c r="B879" s="326"/>
      <c r="C879" s="327"/>
      <c r="D879" s="328"/>
      <c r="E879" s="329"/>
      <c r="F879" s="330"/>
      <c r="G879" s="331"/>
      <c r="H879" s="331"/>
      <c r="I879" s="331"/>
      <c r="J879" s="331"/>
    </row>
    <row r="880" ht="15.75" customHeight="1">
      <c r="A880" s="318"/>
      <c r="B880" s="319"/>
      <c r="C880" s="320"/>
      <c r="D880" s="321"/>
      <c r="E880" s="322"/>
      <c r="F880" s="323"/>
      <c r="G880" s="324"/>
      <c r="H880" s="324"/>
      <c r="I880" s="324"/>
      <c r="J880" s="324"/>
    </row>
    <row r="881" ht="15.75" customHeight="1">
      <c r="A881" s="325"/>
      <c r="B881" s="326"/>
      <c r="C881" s="327"/>
      <c r="D881" s="328"/>
      <c r="E881" s="329"/>
      <c r="F881" s="330"/>
      <c r="G881" s="331"/>
      <c r="H881" s="331"/>
      <c r="I881" s="331"/>
      <c r="J881" s="331"/>
    </row>
    <row r="882" ht="15.75" customHeight="1">
      <c r="A882" s="318"/>
      <c r="B882" s="319"/>
      <c r="C882" s="320"/>
      <c r="D882" s="321"/>
      <c r="E882" s="322"/>
      <c r="F882" s="323"/>
      <c r="G882" s="324"/>
      <c r="H882" s="324"/>
      <c r="I882" s="324"/>
      <c r="J882" s="324"/>
    </row>
    <row r="883" ht="15.75" customHeight="1">
      <c r="A883" s="325"/>
      <c r="B883" s="326"/>
      <c r="C883" s="327"/>
      <c r="D883" s="328"/>
      <c r="E883" s="329"/>
      <c r="F883" s="330"/>
      <c r="G883" s="331"/>
      <c r="H883" s="331"/>
      <c r="I883" s="331"/>
      <c r="J883" s="331"/>
    </row>
    <row r="884" ht="15.75" customHeight="1">
      <c r="A884" s="318"/>
      <c r="B884" s="319"/>
      <c r="C884" s="320"/>
      <c r="D884" s="321"/>
      <c r="E884" s="322"/>
      <c r="F884" s="323"/>
      <c r="G884" s="324"/>
      <c r="H884" s="324"/>
      <c r="I884" s="324"/>
      <c r="J884" s="324"/>
    </row>
    <row r="885" ht="15.75" customHeight="1">
      <c r="A885" s="325"/>
      <c r="B885" s="326"/>
      <c r="C885" s="327"/>
      <c r="D885" s="328"/>
      <c r="E885" s="329"/>
      <c r="F885" s="330"/>
      <c r="G885" s="331"/>
      <c r="H885" s="331"/>
      <c r="I885" s="331"/>
      <c r="J885" s="331"/>
    </row>
    <row r="886" ht="15.75" customHeight="1">
      <c r="A886" s="318"/>
      <c r="B886" s="319"/>
      <c r="C886" s="320"/>
      <c r="D886" s="321"/>
      <c r="E886" s="322"/>
      <c r="F886" s="323"/>
      <c r="G886" s="324"/>
      <c r="H886" s="324"/>
      <c r="I886" s="324"/>
      <c r="J886" s="324"/>
    </row>
    <row r="887" ht="15.75" customHeight="1">
      <c r="A887" s="325"/>
      <c r="B887" s="326"/>
      <c r="C887" s="327"/>
      <c r="D887" s="328"/>
      <c r="E887" s="329"/>
      <c r="F887" s="330"/>
      <c r="G887" s="331"/>
      <c r="H887" s="331"/>
      <c r="I887" s="331"/>
      <c r="J887" s="331"/>
    </row>
    <row r="888" ht="15.75" customHeight="1">
      <c r="A888" s="318"/>
      <c r="B888" s="319"/>
      <c r="C888" s="320"/>
      <c r="D888" s="321"/>
      <c r="E888" s="322"/>
      <c r="F888" s="323"/>
      <c r="G888" s="324"/>
      <c r="H888" s="324"/>
      <c r="I888" s="324"/>
      <c r="J888" s="324"/>
    </row>
    <row r="889" ht="15.75" customHeight="1">
      <c r="A889" s="325"/>
      <c r="B889" s="326"/>
      <c r="C889" s="327"/>
      <c r="D889" s="328"/>
      <c r="E889" s="329"/>
      <c r="F889" s="330"/>
      <c r="G889" s="331"/>
      <c r="H889" s="331"/>
      <c r="I889" s="331"/>
      <c r="J889" s="331"/>
    </row>
    <row r="890" ht="15.75" customHeight="1">
      <c r="A890" s="318"/>
      <c r="B890" s="319"/>
      <c r="C890" s="320"/>
      <c r="D890" s="321"/>
      <c r="E890" s="322"/>
      <c r="F890" s="323"/>
      <c r="G890" s="324"/>
      <c r="H890" s="324"/>
      <c r="I890" s="324"/>
      <c r="J890" s="324"/>
    </row>
    <row r="891" ht="15.75" customHeight="1">
      <c r="A891" s="325"/>
      <c r="B891" s="326"/>
      <c r="C891" s="327"/>
      <c r="D891" s="328"/>
      <c r="E891" s="329"/>
      <c r="F891" s="330"/>
      <c r="G891" s="331"/>
      <c r="H891" s="331"/>
      <c r="I891" s="331"/>
      <c r="J891" s="331"/>
    </row>
    <row r="892" ht="15.75" customHeight="1">
      <c r="A892" s="318"/>
      <c r="B892" s="319"/>
      <c r="C892" s="320"/>
      <c r="D892" s="321"/>
      <c r="E892" s="322"/>
      <c r="F892" s="323"/>
      <c r="G892" s="324"/>
      <c r="H892" s="324"/>
      <c r="I892" s="324"/>
      <c r="J892" s="324"/>
    </row>
    <row r="893" ht="15.75" customHeight="1">
      <c r="A893" s="325"/>
      <c r="B893" s="326"/>
      <c r="C893" s="327"/>
      <c r="D893" s="328"/>
      <c r="E893" s="329"/>
      <c r="F893" s="330"/>
      <c r="G893" s="331"/>
      <c r="H893" s="331"/>
      <c r="I893" s="331"/>
      <c r="J893" s="331"/>
    </row>
    <row r="894" ht="15.75" customHeight="1">
      <c r="A894" s="318"/>
      <c r="B894" s="319"/>
      <c r="C894" s="320"/>
      <c r="D894" s="321"/>
      <c r="E894" s="322"/>
      <c r="F894" s="323"/>
      <c r="G894" s="324"/>
      <c r="H894" s="324"/>
      <c r="I894" s="324"/>
      <c r="J894" s="324"/>
    </row>
    <row r="895" ht="15.75" customHeight="1">
      <c r="A895" s="325"/>
      <c r="B895" s="326"/>
      <c r="C895" s="327"/>
      <c r="D895" s="328"/>
      <c r="E895" s="329"/>
      <c r="F895" s="330"/>
      <c r="G895" s="331"/>
      <c r="H895" s="331"/>
      <c r="I895" s="331"/>
      <c r="J895" s="331"/>
    </row>
    <row r="896" ht="15.75" customHeight="1">
      <c r="A896" s="318"/>
      <c r="B896" s="319"/>
      <c r="C896" s="320"/>
      <c r="D896" s="321"/>
      <c r="E896" s="322"/>
      <c r="F896" s="323"/>
      <c r="G896" s="324"/>
      <c r="H896" s="324"/>
      <c r="I896" s="324"/>
      <c r="J896" s="324"/>
    </row>
    <row r="897" ht="15.75" customHeight="1">
      <c r="A897" s="325"/>
      <c r="B897" s="326"/>
      <c r="C897" s="327"/>
      <c r="D897" s="328"/>
      <c r="E897" s="329"/>
      <c r="F897" s="330"/>
      <c r="G897" s="331"/>
      <c r="H897" s="331"/>
      <c r="I897" s="331"/>
      <c r="J897" s="331"/>
    </row>
    <row r="898" ht="15.75" customHeight="1">
      <c r="A898" s="318"/>
      <c r="B898" s="319"/>
      <c r="C898" s="320"/>
      <c r="D898" s="321"/>
      <c r="E898" s="322"/>
      <c r="F898" s="323"/>
      <c r="G898" s="324"/>
      <c r="H898" s="324"/>
      <c r="I898" s="324"/>
      <c r="J898" s="324"/>
    </row>
    <row r="899" ht="15.75" customHeight="1">
      <c r="A899" s="325"/>
      <c r="B899" s="326"/>
      <c r="C899" s="327"/>
      <c r="D899" s="328"/>
      <c r="E899" s="329"/>
      <c r="F899" s="330"/>
      <c r="G899" s="331"/>
      <c r="H899" s="331"/>
      <c r="I899" s="331"/>
      <c r="J899" s="331"/>
    </row>
    <row r="900" ht="15.75" customHeight="1">
      <c r="A900" s="318"/>
      <c r="B900" s="319"/>
      <c r="C900" s="320"/>
      <c r="D900" s="321"/>
      <c r="E900" s="322"/>
      <c r="F900" s="323"/>
      <c r="G900" s="324"/>
      <c r="H900" s="324"/>
      <c r="I900" s="324"/>
      <c r="J900" s="324"/>
    </row>
    <row r="901" ht="15.75" customHeight="1">
      <c r="A901" s="325"/>
      <c r="B901" s="326"/>
      <c r="C901" s="327"/>
      <c r="D901" s="328"/>
      <c r="E901" s="329"/>
      <c r="F901" s="330"/>
      <c r="G901" s="331"/>
      <c r="H901" s="331"/>
      <c r="I901" s="331"/>
      <c r="J901" s="331"/>
    </row>
    <row r="902" ht="15.75" customHeight="1">
      <c r="A902" s="318"/>
      <c r="B902" s="319"/>
      <c r="C902" s="320"/>
      <c r="D902" s="321"/>
      <c r="E902" s="322"/>
      <c r="F902" s="323"/>
      <c r="G902" s="324"/>
      <c r="H902" s="324"/>
      <c r="I902" s="324"/>
      <c r="J902" s="324"/>
    </row>
    <row r="903" ht="15.75" customHeight="1">
      <c r="A903" s="325"/>
      <c r="B903" s="326"/>
      <c r="C903" s="327"/>
      <c r="D903" s="328"/>
      <c r="E903" s="329"/>
      <c r="F903" s="330"/>
      <c r="G903" s="331"/>
      <c r="H903" s="331"/>
      <c r="I903" s="331"/>
      <c r="J903" s="331"/>
    </row>
    <row r="904" ht="15.75" customHeight="1">
      <c r="A904" s="318"/>
      <c r="B904" s="319"/>
      <c r="C904" s="320"/>
      <c r="D904" s="321"/>
      <c r="E904" s="322"/>
      <c r="F904" s="323"/>
      <c r="G904" s="324"/>
      <c r="H904" s="324"/>
      <c r="I904" s="324"/>
      <c r="J904" s="324"/>
    </row>
    <row r="905" ht="15.75" customHeight="1">
      <c r="A905" s="325"/>
      <c r="B905" s="326"/>
      <c r="C905" s="327"/>
      <c r="D905" s="328"/>
      <c r="E905" s="329"/>
      <c r="F905" s="330"/>
      <c r="G905" s="331"/>
      <c r="H905" s="331"/>
      <c r="I905" s="331"/>
      <c r="J905" s="331"/>
    </row>
    <row r="906" ht="15.75" customHeight="1">
      <c r="A906" s="318"/>
      <c r="B906" s="319"/>
      <c r="C906" s="320"/>
      <c r="D906" s="321"/>
      <c r="E906" s="322"/>
      <c r="F906" s="323"/>
      <c r="G906" s="324"/>
      <c r="H906" s="324"/>
      <c r="I906" s="324"/>
      <c r="J906" s="324"/>
    </row>
    <row r="907" ht="15.75" customHeight="1">
      <c r="A907" s="325"/>
      <c r="B907" s="326"/>
      <c r="C907" s="327"/>
      <c r="D907" s="328"/>
      <c r="E907" s="329"/>
      <c r="F907" s="330"/>
      <c r="G907" s="331"/>
      <c r="H907" s="331"/>
      <c r="I907" s="331"/>
      <c r="J907" s="331"/>
    </row>
    <row r="908" ht="15.75" customHeight="1">
      <c r="A908" s="318"/>
      <c r="B908" s="319"/>
      <c r="C908" s="320"/>
      <c r="D908" s="321"/>
      <c r="E908" s="322"/>
      <c r="F908" s="323"/>
      <c r="G908" s="324"/>
      <c r="H908" s="324"/>
      <c r="I908" s="324"/>
      <c r="J908" s="324"/>
    </row>
    <row r="909" ht="15.75" customHeight="1">
      <c r="A909" s="325"/>
      <c r="B909" s="326"/>
      <c r="C909" s="327"/>
      <c r="D909" s="328"/>
      <c r="E909" s="329"/>
      <c r="F909" s="330"/>
      <c r="G909" s="331"/>
      <c r="H909" s="331"/>
      <c r="I909" s="331"/>
      <c r="J909" s="331"/>
    </row>
    <row r="910" ht="15.75" customHeight="1">
      <c r="A910" s="318"/>
      <c r="B910" s="319"/>
      <c r="C910" s="320"/>
      <c r="D910" s="321"/>
      <c r="E910" s="322"/>
      <c r="F910" s="323"/>
      <c r="G910" s="324"/>
      <c r="H910" s="324"/>
      <c r="I910" s="324"/>
      <c r="J910" s="324"/>
    </row>
    <row r="911" ht="15.75" customHeight="1">
      <c r="A911" s="325"/>
      <c r="B911" s="326"/>
      <c r="C911" s="327"/>
      <c r="D911" s="328"/>
      <c r="E911" s="329"/>
      <c r="F911" s="330"/>
      <c r="G911" s="331"/>
      <c r="H911" s="331"/>
      <c r="I911" s="331"/>
      <c r="J911" s="331"/>
    </row>
    <row r="912" ht="15.75" customHeight="1">
      <c r="A912" s="318"/>
      <c r="B912" s="319"/>
      <c r="C912" s="320"/>
      <c r="D912" s="321"/>
      <c r="E912" s="322"/>
      <c r="F912" s="323"/>
      <c r="G912" s="324"/>
      <c r="H912" s="324"/>
      <c r="I912" s="324"/>
      <c r="J912" s="324"/>
    </row>
    <row r="913" ht="15.75" customHeight="1">
      <c r="A913" s="325"/>
      <c r="B913" s="326"/>
      <c r="C913" s="327"/>
      <c r="D913" s="328"/>
      <c r="E913" s="329"/>
      <c r="F913" s="330"/>
      <c r="G913" s="331"/>
      <c r="H913" s="331"/>
      <c r="I913" s="331"/>
      <c r="J913" s="331"/>
    </row>
    <row r="914" ht="15.75" customHeight="1">
      <c r="A914" s="318"/>
      <c r="B914" s="319"/>
      <c r="C914" s="320"/>
      <c r="D914" s="321"/>
      <c r="E914" s="322"/>
      <c r="F914" s="323"/>
      <c r="G914" s="324"/>
      <c r="H914" s="324"/>
      <c r="I914" s="324"/>
      <c r="J914" s="324"/>
    </row>
    <row r="915" ht="15.75" customHeight="1">
      <c r="A915" s="325"/>
      <c r="B915" s="326"/>
      <c r="C915" s="327"/>
      <c r="D915" s="328"/>
      <c r="E915" s="329"/>
      <c r="F915" s="330"/>
      <c r="G915" s="331"/>
      <c r="H915" s="331"/>
      <c r="I915" s="331"/>
      <c r="J915" s="331"/>
    </row>
    <row r="916" ht="15.75" customHeight="1">
      <c r="A916" s="318"/>
      <c r="B916" s="319"/>
      <c r="C916" s="320"/>
      <c r="D916" s="321"/>
      <c r="E916" s="322"/>
      <c r="F916" s="323"/>
      <c r="G916" s="324"/>
      <c r="H916" s="324"/>
      <c r="I916" s="324"/>
      <c r="J916" s="324"/>
    </row>
    <row r="917" ht="15.75" customHeight="1">
      <c r="A917" s="325"/>
      <c r="B917" s="326"/>
      <c r="C917" s="327"/>
      <c r="D917" s="328"/>
      <c r="E917" s="329"/>
      <c r="F917" s="330"/>
      <c r="G917" s="331"/>
      <c r="H917" s="331"/>
      <c r="I917" s="331"/>
      <c r="J917" s="331"/>
    </row>
    <row r="918" ht="15.75" customHeight="1">
      <c r="A918" s="318"/>
      <c r="B918" s="319"/>
      <c r="C918" s="320"/>
      <c r="D918" s="321"/>
      <c r="E918" s="322"/>
      <c r="F918" s="323"/>
      <c r="G918" s="324"/>
      <c r="H918" s="324"/>
      <c r="I918" s="324"/>
      <c r="J918" s="324"/>
    </row>
    <row r="919" ht="15.75" customHeight="1">
      <c r="A919" s="325"/>
      <c r="B919" s="326"/>
      <c r="C919" s="327"/>
      <c r="D919" s="328"/>
      <c r="E919" s="329"/>
      <c r="F919" s="330"/>
      <c r="G919" s="331"/>
      <c r="H919" s="331"/>
      <c r="I919" s="331"/>
      <c r="J919" s="331"/>
    </row>
    <row r="920" ht="15.75" customHeight="1">
      <c r="A920" s="318"/>
      <c r="B920" s="319"/>
      <c r="C920" s="320"/>
      <c r="D920" s="321"/>
      <c r="E920" s="322"/>
      <c r="F920" s="323"/>
      <c r="G920" s="324"/>
      <c r="H920" s="324"/>
      <c r="I920" s="324"/>
      <c r="J920" s="324"/>
    </row>
    <row r="921" ht="15.75" customHeight="1">
      <c r="A921" s="325"/>
      <c r="B921" s="326"/>
      <c r="C921" s="327"/>
      <c r="D921" s="328"/>
      <c r="E921" s="329"/>
      <c r="F921" s="330"/>
      <c r="G921" s="331"/>
      <c r="H921" s="331"/>
      <c r="I921" s="331"/>
      <c r="J921" s="331"/>
    </row>
    <row r="922" ht="15.75" customHeight="1">
      <c r="A922" s="318"/>
      <c r="B922" s="319"/>
      <c r="C922" s="320"/>
      <c r="D922" s="321"/>
      <c r="E922" s="322"/>
      <c r="F922" s="323"/>
      <c r="G922" s="324"/>
      <c r="H922" s="324"/>
      <c r="I922" s="324"/>
      <c r="J922" s="324"/>
    </row>
    <row r="923" ht="15.75" customHeight="1">
      <c r="A923" s="325"/>
      <c r="B923" s="326"/>
      <c r="C923" s="327"/>
      <c r="D923" s="328"/>
      <c r="E923" s="329"/>
      <c r="F923" s="330"/>
      <c r="G923" s="331"/>
      <c r="H923" s="331"/>
      <c r="I923" s="331"/>
      <c r="J923" s="331"/>
    </row>
    <row r="924" ht="15.75" customHeight="1">
      <c r="A924" s="318"/>
      <c r="B924" s="319"/>
      <c r="C924" s="320"/>
      <c r="D924" s="321"/>
      <c r="E924" s="322"/>
      <c r="F924" s="323"/>
      <c r="G924" s="324"/>
      <c r="H924" s="324"/>
      <c r="I924" s="324"/>
      <c r="J924" s="324"/>
    </row>
    <row r="925" ht="15.75" customHeight="1">
      <c r="A925" s="325"/>
      <c r="B925" s="326"/>
      <c r="C925" s="327"/>
      <c r="D925" s="328"/>
      <c r="E925" s="329"/>
      <c r="F925" s="330"/>
      <c r="G925" s="331"/>
      <c r="H925" s="331"/>
      <c r="I925" s="331"/>
      <c r="J925" s="331"/>
    </row>
    <row r="926" ht="15.75" customHeight="1">
      <c r="A926" s="318"/>
      <c r="B926" s="319"/>
      <c r="C926" s="320"/>
      <c r="D926" s="321"/>
      <c r="E926" s="322"/>
      <c r="F926" s="323"/>
      <c r="G926" s="324"/>
      <c r="H926" s="324"/>
      <c r="I926" s="324"/>
      <c r="J926" s="324"/>
    </row>
    <row r="927" ht="15.75" customHeight="1">
      <c r="A927" s="325"/>
      <c r="B927" s="326"/>
      <c r="C927" s="327"/>
      <c r="D927" s="328"/>
      <c r="E927" s="329"/>
      <c r="F927" s="330"/>
      <c r="G927" s="331"/>
      <c r="H927" s="331"/>
      <c r="I927" s="331"/>
      <c r="J927" s="331"/>
    </row>
    <row r="928" ht="15.75" customHeight="1">
      <c r="A928" s="318"/>
      <c r="B928" s="319"/>
      <c r="C928" s="320"/>
      <c r="D928" s="321"/>
      <c r="E928" s="322"/>
      <c r="F928" s="323"/>
      <c r="G928" s="324"/>
      <c r="H928" s="324"/>
      <c r="I928" s="324"/>
      <c r="J928" s="324"/>
    </row>
    <row r="929" ht="15.75" customHeight="1">
      <c r="A929" s="325"/>
      <c r="B929" s="326"/>
      <c r="C929" s="327"/>
      <c r="D929" s="328"/>
      <c r="E929" s="329"/>
      <c r="F929" s="330"/>
      <c r="G929" s="331"/>
      <c r="H929" s="331"/>
      <c r="I929" s="331"/>
      <c r="J929" s="331"/>
    </row>
    <row r="930" ht="15.75" customHeight="1">
      <c r="A930" s="318"/>
      <c r="B930" s="319"/>
      <c r="C930" s="320"/>
      <c r="D930" s="321"/>
      <c r="E930" s="322"/>
      <c r="F930" s="323"/>
      <c r="G930" s="324"/>
      <c r="H930" s="324"/>
      <c r="I930" s="324"/>
      <c r="J930" s="324"/>
    </row>
    <row r="931" ht="15.75" customHeight="1">
      <c r="A931" s="325"/>
      <c r="B931" s="326"/>
      <c r="C931" s="327"/>
      <c r="D931" s="328"/>
      <c r="E931" s="329"/>
      <c r="F931" s="330"/>
      <c r="G931" s="331"/>
      <c r="H931" s="331"/>
      <c r="I931" s="331"/>
      <c r="J931" s="331"/>
    </row>
    <row r="932" ht="15.75" customHeight="1">
      <c r="A932" s="318"/>
      <c r="B932" s="319"/>
      <c r="C932" s="320"/>
      <c r="D932" s="321"/>
      <c r="E932" s="322"/>
      <c r="F932" s="323"/>
      <c r="G932" s="324"/>
      <c r="H932" s="324"/>
      <c r="I932" s="324"/>
      <c r="J932" s="324"/>
    </row>
    <row r="933" ht="15.75" customHeight="1">
      <c r="A933" s="325"/>
      <c r="B933" s="326"/>
      <c r="C933" s="327"/>
      <c r="D933" s="328"/>
      <c r="E933" s="329"/>
      <c r="F933" s="330"/>
      <c r="G933" s="331"/>
      <c r="H933" s="331"/>
      <c r="I933" s="331"/>
      <c r="J933" s="331"/>
    </row>
    <row r="934" ht="15.75" customHeight="1">
      <c r="A934" s="318"/>
      <c r="B934" s="319"/>
      <c r="C934" s="320"/>
      <c r="D934" s="321"/>
      <c r="E934" s="322"/>
      <c r="F934" s="323"/>
      <c r="G934" s="324"/>
      <c r="H934" s="324"/>
      <c r="I934" s="324"/>
      <c r="J934" s="324"/>
    </row>
    <row r="935" ht="15.75" customHeight="1">
      <c r="A935" s="325"/>
      <c r="B935" s="326"/>
      <c r="C935" s="327"/>
      <c r="D935" s="328"/>
      <c r="E935" s="329"/>
      <c r="F935" s="330"/>
      <c r="G935" s="331"/>
      <c r="H935" s="331"/>
      <c r="I935" s="331"/>
      <c r="J935" s="331"/>
    </row>
    <row r="936" ht="15.75" customHeight="1">
      <c r="A936" s="318"/>
      <c r="B936" s="319"/>
      <c r="C936" s="320"/>
      <c r="D936" s="321"/>
      <c r="E936" s="322"/>
      <c r="F936" s="323"/>
      <c r="G936" s="324"/>
      <c r="H936" s="324"/>
      <c r="I936" s="324"/>
      <c r="J936" s="324"/>
    </row>
    <row r="937" ht="15.75" customHeight="1">
      <c r="A937" s="325"/>
      <c r="B937" s="326"/>
      <c r="C937" s="327"/>
      <c r="D937" s="328"/>
      <c r="E937" s="329"/>
      <c r="F937" s="330"/>
      <c r="G937" s="331"/>
      <c r="H937" s="331"/>
      <c r="I937" s="331"/>
      <c r="J937" s="331"/>
    </row>
    <row r="938" ht="15.75" customHeight="1">
      <c r="A938" s="318"/>
      <c r="B938" s="319"/>
      <c r="C938" s="320"/>
      <c r="D938" s="321"/>
      <c r="E938" s="322"/>
      <c r="F938" s="323"/>
      <c r="G938" s="324"/>
      <c r="H938" s="324"/>
      <c r="I938" s="324"/>
      <c r="J938" s="324"/>
    </row>
    <row r="939" ht="15.75" customHeight="1">
      <c r="A939" s="325"/>
      <c r="B939" s="326"/>
      <c r="C939" s="327"/>
      <c r="D939" s="328"/>
      <c r="E939" s="329"/>
      <c r="F939" s="330"/>
      <c r="G939" s="331"/>
      <c r="H939" s="331"/>
      <c r="I939" s="331"/>
      <c r="J939" s="331"/>
    </row>
    <row r="940" ht="15.75" customHeight="1">
      <c r="A940" s="318"/>
      <c r="B940" s="319"/>
      <c r="C940" s="320"/>
      <c r="D940" s="321"/>
      <c r="E940" s="322"/>
      <c r="F940" s="323"/>
      <c r="G940" s="324"/>
      <c r="H940" s="392"/>
      <c r="I940" s="392"/>
      <c r="J940" s="393"/>
    </row>
    <row r="941" ht="15.75" customHeight="1">
      <c r="A941" s="325"/>
      <c r="B941" s="326"/>
      <c r="C941" s="327"/>
      <c r="D941" s="328"/>
      <c r="E941" s="329"/>
      <c r="F941" s="330"/>
      <c r="G941" s="331"/>
      <c r="H941" s="331"/>
      <c r="I941" s="331"/>
      <c r="J941" s="331"/>
    </row>
    <row r="942" ht="15.75" customHeight="1">
      <c r="A942" s="318"/>
      <c r="B942" s="319"/>
      <c r="C942" s="320"/>
      <c r="D942" s="321"/>
      <c r="E942" s="322"/>
      <c r="F942" s="323"/>
      <c r="G942" s="324"/>
      <c r="H942" s="324"/>
      <c r="I942" s="324"/>
      <c r="J942" s="324"/>
    </row>
    <row r="943" ht="15.75" customHeight="1">
      <c r="A943" s="325"/>
      <c r="B943" s="326"/>
      <c r="C943" s="327"/>
      <c r="D943" s="328"/>
      <c r="E943" s="329"/>
      <c r="F943" s="330"/>
      <c r="G943" s="331"/>
      <c r="H943" s="331"/>
      <c r="I943" s="331"/>
      <c r="J943" s="331"/>
    </row>
    <row r="944" ht="15.75" customHeight="1">
      <c r="A944" s="318"/>
      <c r="B944" s="319"/>
      <c r="C944" s="320"/>
      <c r="D944" s="321"/>
      <c r="E944" s="322"/>
      <c r="F944" s="323"/>
      <c r="G944" s="324"/>
      <c r="H944" s="324"/>
      <c r="I944" s="324"/>
      <c r="J944" s="324"/>
    </row>
    <row r="945" ht="15.75" customHeight="1">
      <c r="A945" s="325"/>
      <c r="B945" s="326"/>
      <c r="C945" s="327"/>
      <c r="D945" s="328"/>
      <c r="E945" s="329"/>
      <c r="F945" s="330"/>
      <c r="G945" s="331"/>
      <c r="H945" s="331"/>
      <c r="I945" s="331"/>
      <c r="J945" s="331"/>
    </row>
    <row r="946" ht="15.75" customHeight="1">
      <c r="A946" s="318"/>
      <c r="B946" s="319"/>
      <c r="C946" s="320"/>
      <c r="D946" s="321"/>
      <c r="E946" s="322"/>
      <c r="F946" s="323"/>
      <c r="G946" s="324"/>
      <c r="H946" s="324"/>
      <c r="I946" s="324"/>
      <c r="J946" s="324"/>
    </row>
    <row r="947" ht="15.75" customHeight="1">
      <c r="A947" s="325"/>
      <c r="B947" s="326"/>
      <c r="C947" s="327"/>
      <c r="D947" s="328"/>
      <c r="E947" s="329"/>
      <c r="F947" s="330"/>
      <c r="G947" s="331"/>
      <c r="H947" s="331"/>
      <c r="I947" s="331"/>
      <c r="J947" s="331"/>
    </row>
    <row r="948" ht="15.75" customHeight="1">
      <c r="A948" s="318"/>
      <c r="B948" s="319"/>
      <c r="C948" s="320"/>
      <c r="D948" s="321"/>
      <c r="E948" s="322"/>
      <c r="F948" s="323"/>
      <c r="G948" s="324"/>
      <c r="H948" s="324"/>
      <c r="I948" s="324"/>
      <c r="J948" s="324"/>
    </row>
    <row r="949" ht="15.75" customHeight="1">
      <c r="A949" s="325"/>
      <c r="B949" s="326"/>
      <c r="C949" s="327"/>
      <c r="D949" s="328"/>
      <c r="E949" s="329"/>
      <c r="F949" s="330"/>
      <c r="G949" s="331"/>
      <c r="H949" s="331"/>
      <c r="I949" s="331"/>
      <c r="J949" s="331"/>
    </row>
    <row r="950" ht="15.75" customHeight="1">
      <c r="A950" s="318"/>
      <c r="B950" s="319"/>
      <c r="C950" s="320"/>
      <c r="D950" s="321"/>
      <c r="E950" s="322"/>
      <c r="F950" s="323"/>
      <c r="G950" s="324"/>
      <c r="H950" s="324"/>
      <c r="I950" s="324"/>
      <c r="J950" s="324"/>
    </row>
    <row r="951" ht="15.75" customHeight="1">
      <c r="A951" s="325"/>
      <c r="B951" s="326"/>
      <c r="C951" s="327"/>
      <c r="D951" s="328"/>
      <c r="E951" s="329"/>
      <c r="F951" s="330"/>
      <c r="G951" s="331"/>
      <c r="H951" s="331"/>
      <c r="I951" s="331"/>
      <c r="J951" s="331"/>
    </row>
    <row r="952" ht="15.75" customHeight="1">
      <c r="A952" s="318"/>
      <c r="B952" s="319"/>
      <c r="C952" s="320"/>
      <c r="D952" s="321"/>
      <c r="E952" s="322"/>
      <c r="F952" s="323"/>
      <c r="G952" s="324"/>
      <c r="H952" s="324"/>
      <c r="I952" s="324"/>
      <c r="J952" s="324"/>
    </row>
    <row r="953" ht="15.75" customHeight="1">
      <c r="A953" s="325"/>
      <c r="B953" s="326"/>
      <c r="C953" s="327"/>
      <c r="D953" s="328"/>
      <c r="E953" s="329"/>
      <c r="F953" s="330"/>
      <c r="G953" s="331"/>
      <c r="H953" s="331"/>
      <c r="I953" s="331"/>
      <c r="J953" s="331"/>
    </row>
    <row r="954" ht="15.75" customHeight="1">
      <c r="A954" s="318"/>
      <c r="B954" s="319"/>
      <c r="C954" s="320"/>
      <c r="D954" s="321"/>
      <c r="E954" s="322"/>
      <c r="F954" s="323"/>
      <c r="G954" s="324"/>
      <c r="H954" s="324"/>
      <c r="I954" s="324"/>
      <c r="J954" s="324"/>
    </row>
    <row r="955" ht="15.75" customHeight="1">
      <c r="A955" s="325"/>
      <c r="B955" s="326"/>
      <c r="C955" s="327"/>
      <c r="D955" s="328"/>
      <c r="E955" s="329"/>
      <c r="F955" s="330"/>
      <c r="G955" s="331"/>
      <c r="H955" s="331"/>
      <c r="I955" s="331"/>
      <c r="J955" s="331"/>
    </row>
    <row r="956" ht="15.75" customHeight="1">
      <c r="A956" s="318"/>
      <c r="B956" s="319"/>
      <c r="C956" s="320"/>
      <c r="D956" s="321"/>
      <c r="E956" s="322"/>
      <c r="F956" s="323"/>
      <c r="G956" s="324"/>
      <c r="H956" s="324"/>
      <c r="I956" s="324"/>
      <c r="J956" s="324"/>
    </row>
    <row r="957" ht="15.75" customHeight="1">
      <c r="A957" s="325"/>
      <c r="B957" s="326"/>
      <c r="C957" s="327"/>
      <c r="D957" s="328"/>
      <c r="E957" s="329"/>
      <c r="F957" s="330"/>
      <c r="G957" s="331"/>
      <c r="H957" s="331"/>
      <c r="I957" s="331"/>
      <c r="J957" s="331"/>
    </row>
    <row r="958" ht="15.75" customHeight="1">
      <c r="A958" s="318"/>
      <c r="B958" s="319"/>
      <c r="C958" s="320"/>
      <c r="D958" s="321"/>
      <c r="E958" s="322"/>
      <c r="F958" s="323"/>
      <c r="G958" s="324"/>
      <c r="H958" s="324"/>
      <c r="I958" s="324"/>
      <c r="J958" s="324"/>
    </row>
    <row r="959" ht="15.75" customHeight="1">
      <c r="A959" s="325"/>
      <c r="B959" s="326"/>
      <c r="C959" s="327"/>
      <c r="D959" s="328"/>
      <c r="E959" s="329"/>
      <c r="F959" s="330"/>
      <c r="G959" s="331"/>
      <c r="H959" s="331"/>
      <c r="I959" s="331"/>
      <c r="J959" s="331"/>
    </row>
    <row r="960" ht="15.75" customHeight="1">
      <c r="A960" s="318"/>
      <c r="B960" s="319"/>
      <c r="C960" s="320"/>
      <c r="D960" s="321"/>
      <c r="E960" s="322"/>
      <c r="F960" s="323"/>
      <c r="G960" s="324"/>
      <c r="H960" s="324"/>
      <c r="I960" s="324"/>
      <c r="J960" s="324"/>
    </row>
    <row r="961" ht="15.75" customHeight="1">
      <c r="A961" s="325"/>
      <c r="B961" s="326"/>
      <c r="C961" s="327"/>
      <c r="D961" s="328"/>
      <c r="E961" s="329"/>
      <c r="F961" s="330"/>
      <c r="G961" s="331"/>
      <c r="H961" s="331"/>
      <c r="I961" s="331"/>
      <c r="J961" s="331"/>
    </row>
    <row r="962" ht="15.75" customHeight="1">
      <c r="A962" s="318"/>
      <c r="B962" s="319"/>
      <c r="C962" s="320"/>
      <c r="D962" s="321"/>
      <c r="E962" s="322"/>
      <c r="F962" s="323"/>
      <c r="G962" s="324"/>
      <c r="H962" s="324"/>
      <c r="I962" s="324"/>
      <c r="J962" s="324"/>
    </row>
    <row r="963" ht="15.75" customHeight="1">
      <c r="A963" s="325"/>
      <c r="B963" s="326"/>
      <c r="C963" s="327"/>
      <c r="D963" s="328"/>
      <c r="E963" s="329"/>
      <c r="F963" s="330"/>
      <c r="G963" s="331"/>
      <c r="H963" s="331"/>
      <c r="I963" s="331"/>
      <c r="J963" s="331"/>
    </row>
    <row r="964" ht="15.75" customHeight="1">
      <c r="A964" s="318"/>
      <c r="B964" s="319"/>
      <c r="C964" s="320"/>
      <c r="D964" s="321"/>
      <c r="E964" s="322"/>
      <c r="F964" s="323"/>
      <c r="G964" s="324"/>
      <c r="H964" s="324"/>
      <c r="I964" s="324"/>
      <c r="J964" s="324"/>
    </row>
    <row r="965" ht="15.75" customHeight="1">
      <c r="A965" s="325"/>
      <c r="B965" s="326"/>
      <c r="C965" s="327"/>
      <c r="D965" s="328"/>
      <c r="E965" s="329"/>
      <c r="F965" s="330"/>
      <c r="G965" s="331"/>
      <c r="H965" s="331"/>
      <c r="I965" s="331"/>
      <c r="J965" s="331"/>
    </row>
    <row r="966" ht="15.75" customHeight="1">
      <c r="A966" s="318"/>
      <c r="B966" s="319"/>
      <c r="C966" s="320"/>
      <c r="D966" s="321"/>
      <c r="E966" s="322"/>
      <c r="F966" s="323"/>
      <c r="G966" s="324"/>
      <c r="H966" s="324"/>
      <c r="I966" s="324"/>
      <c r="J966" s="324"/>
    </row>
    <row r="967" ht="15.75" customHeight="1">
      <c r="A967" s="325"/>
      <c r="B967" s="326"/>
      <c r="C967" s="327"/>
      <c r="D967" s="328"/>
      <c r="E967" s="329"/>
      <c r="F967" s="330"/>
      <c r="G967" s="331"/>
      <c r="H967" s="331"/>
      <c r="I967" s="331"/>
      <c r="J967" s="331"/>
    </row>
    <row r="968" ht="15.75" customHeight="1">
      <c r="A968" s="318"/>
      <c r="B968" s="319"/>
      <c r="C968" s="320"/>
      <c r="D968" s="321"/>
      <c r="E968" s="322"/>
      <c r="F968" s="323"/>
      <c r="G968" s="324"/>
      <c r="H968" s="324"/>
      <c r="I968" s="324"/>
      <c r="J968" s="324"/>
    </row>
    <row r="969" ht="15.75" customHeight="1">
      <c r="A969" s="325"/>
      <c r="B969" s="326"/>
      <c r="C969" s="327"/>
      <c r="D969" s="328"/>
      <c r="E969" s="329"/>
      <c r="F969" s="330"/>
      <c r="G969" s="331"/>
      <c r="H969" s="331"/>
      <c r="I969" s="331"/>
      <c r="J969" s="331"/>
    </row>
    <row r="970" ht="15.75" customHeight="1">
      <c r="A970" s="318"/>
      <c r="B970" s="319"/>
      <c r="C970" s="320"/>
      <c r="D970" s="321"/>
      <c r="E970" s="322"/>
      <c r="F970" s="323"/>
      <c r="G970" s="324"/>
      <c r="H970" s="324"/>
      <c r="I970" s="324"/>
      <c r="J970" s="324"/>
    </row>
    <row r="971" ht="15.75" customHeight="1">
      <c r="A971" s="325"/>
      <c r="B971" s="326"/>
      <c r="C971" s="327"/>
      <c r="D971" s="328"/>
      <c r="E971" s="329"/>
      <c r="F971" s="330"/>
      <c r="G971" s="331"/>
      <c r="H971" s="331"/>
      <c r="I971" s="331"/>
      <c r="J971" s="331"/>
    </row>
    <row r="972" ht="15.75" customHeight="1">
      <c r="A972" s="318"/>
      <c r="B972" s="319"/>
      <c r="C972" s="320"/>
      <c r="D972" s="321"/>
      <c r="E972" s="322"/>
      <c r="F972" s="323"/>
      <c r="G972" s="324"/>
      <c r="H972" s="324"/>
      <c r="I972" s="324"/>
      <c r="J972" s="324"/>
    </row>
    <row r="973" ht="6.0" customHeight="1">
      <c r="A973" s="334"/>
      <c r="B973" s="334"/>
      <c r="C973" s="335"/>
      <c r="D973" s="336"/>
      <c r="E973" s="334"/>
      <c r="F973" s="334"/>
      <c r="G973" s="334"/>
      <c r="H973" s="334"/>
      <c r="I973" s="334"/>
      <c r="J973" s="334"/>
    </row>
    <row r="974" ht="24.0" customHeight="1">
      <c r="A974" s="313" t="s">
        <v>521</v>
      </c>
      <c r="B974" s="55"/>
      <c r="C974" s="55"/>
      <c r="D974" s="55"/>
      <c r="E974" s="55"/>
      <c r="F974" s="56"/>
      <c r="G974" s="314"/>
      <c r="H974" s="315">
        <f>SUM(D975:D1120)</f>
        <v>0</v>
      </c>
      <c r="I974" s="316"/>
      <c r="J974" s="317" t="str">
        <f>IF(I974&gt;0,H974/I974,"")</f>
        <v/>
      </c>
    </row>
    <row r="975" ht="15.75" customHeight="1">
      <c r="A975" s="337"/>
      <c r="B975" s="338"/>
      <c r="C975" s="339"/>
      <c r="D975" s="340"/>
      <c r="E975" s="341"/>
      <c r="F975" s="342"/>
      <c r="G975" s="343"/>
      <c r="H975" s="343"/>
      <c r="I975" s="343"/>
      <c r="J975" s="343"/>
    </row>
    <row r="976" ht="15.75" customHeight="1">
      <c r="A976" s="344"/>
      <c r="B976" s="345"/>
      <c r="C976" s="346"/>
      <c r="D976" s="347"/>
      <c r="E976" s="348"/>
      <c r="F976" s="349"/>
      <c r="G976" s="350"/>
      <c r="H976" s="350"/>
      <c r="I976" s="350"/>
      <c r="J976" s="350"/>
    </row>
    <row r="977" ht="15.75" customHeight="1">
      <c r="A977" s="337"/>
      <c r="B977" s="338"/>
      <c r="C977" s="339"/>
      <c r="D977" s="340"/>
      <c r="E977" s="341"/>
      <c r="F977" s="342"/>
      <c r="G977" s="343"/>
      <c r="H977" s="343"/>
      <c r="I977" s="343"/>
      <c r="J977" s="343"/>
    </row>
    <row r="978" ht="15.75" customHeight="1">
      <c r="A978" s="344"/>
      <c r="B978" s="345"/>
      <c r="C978" s="346"/>
      <c r="D978" s="347"/>
      <c r="E978" s="348"/>
      <c r="F978" s="349"/>
      <c r="G978" s="350"/>
      <c r="H978" s="350"/>
      <c r="I978" s="350"/>
      <c r="J978" s="350"/>
    </row>
    <row r="979" ht="15.75" customHeight="1">
      <c r="A979" s="337"/>
      <c r="B979" s="338"/>
      <c r="C979" s="339"/>
      <c r="D979" s="340"/>
      <c r="E979" s="341"/>
      <c r="F979" s="342"/>
      <c r="G979" s="343"/>
      <c r="H979" s="343"/>
      <c r="I979" s="343"/>
      <c r="J979" s="343"/>
    </row>
    <row r="980" ht="15.75" customHeight="1">
      <c r="A980" s="344"/>
      <c r="B980" s="345"/>
      <c r="C980" s="346"/>
      <c r="D980" s="347"/>
      <c r="E980" s="348"/>
      <c r="F980" s="349"/>
      <c r="G980" s="350"/>
      <c r="H980" s="350"/>
      <c r="I980" s="350"/>
      <c r="J980" s="350"/>
    </row>
    <row r="981" ht="15.75" customHeight="1">
      <c r="A981" s="337"/>
      <c r="B981" s="338"/>
      <c r="C981" s="339"/>
      <c r="D981" s="340"/>
      <c r="E981" s="341"/>
      <c r="F981" s="342"/>
      <c r="G981" s="343"/>
      <c r="H981" s="343"/>
      <c r="I981" s="343"/>
      <c r="J981" s="343"/>
    </row>
    <row r="982" ht="15.75" customHeight="1">
      <c r="A982" s="344"/>
      <c r="B982" s="345"/>
      <c r="C982" s="346"/>
      <c r="D982" s="347"/>
      <c r="E982" s="348"/>
      <c r="F982" s="349"/>
      <c r="G982" s="350"/>
      <c r="H982" s="350"/>
      <c r="I982" s="350"/>
      <c r="J982" s="350"/>
    </row>
    <row r="983" ht="15.75" customHeight="1">
      <c r="A983" s="337"/>
      <c r="B983" s="338"/>
      <c r="C983" s="339"/>
      <c r="D983" s="340"/>
      <c r="E983" s="341"/>
      <c r="F983" s="342"/>
      <c r="G983" s="343"/>
      <c r="H983" s="343"/>
      <c r="I983" s="343"/>
      <c r="J983" s="343"/>
    </row>
    <row r="984" ht="15.75" customHeight="1">
      <c r="A984" s="344"/>
      <c r="B984" s="345"/>
      <c r="C984" s="346"/>
      <c r="D984" s="347"/>
      <c r="E984" s="348"/>
      <c r="F984" s="349"/>
      <c r="G984" s="350"/>
      <c r="H984" s="350"/>
      <c r="I984" s="350"/>
      <c r="J984" s="350"/>
    </row>
    <row r="985" ht="15.75" customHeight="1">
      <c r="A985" s="337"/>
      <c r="B985" s="338"/>
      <c r="C985" s="339"/>
      <c r="D985" s="340"/>
      <c r="E985" s="341"/>
      <c r="F985" s="342"/>
      <c r="G985" s="343"/>
      <c r="H985" s="343"/>
      <c r="I985" s="343"/>
      <c r="J985" s="343"/>
    </row>
    <row r="986" ht="15.75" customHeight="1">
      <c r="A986" s="344"/>
      <c r="B986" s="345"/>
      <c r="C986" s="346"/>
      <c r="D986" s="347"/>
      <c r="E986" s="348"/>
      <c r="F986" s="349"/>
      <c r="G986" s="350"/>
      <c r="H986" s="350"/>
      <c r="I986" s="350"/>
      <c r="J986" s="350"/>
    </row>
    <row r="987" ht="15.75" customHeight="1">
      <c r="A987" s="337"/>
      <c r="B987" s="338"/>
      <c r="C987" s="339"/>
      <c r="D987" s="340"/>
      <c r="E987" s="341"/>
      <c r="F987" s="342"/>
      <c r="G987" s="343"/>
      <c r="H987" s="343"/>
      <c r="I987" s="343"/>
      <c r="J987" s="343"/>
    </row>
    <row r="988" ht="15.75" customHeight="1">
      <c r="A988" s="344"/>
      <c r="B988" s="345"/>
      <c r="C988" s="346"/>
      <c r="D988" s="347"/>
      <c r="E988" s="348"/>
      <c r="F988" s="349"/>
      <c r="G988" s="350"/>
      <c r="H988" s="350"/>
      <c r="I988" s="350"/>
      <c r="J988" s="350"/>
    </row>
    <row r="989" ht="15.75" customHeight="1">
      <c r="A989" s="337"/>
      <c r="B989" s="338"/>
      <c r="C989" s="339"/>
      <c r="D989" s="340"/>
      <c r="E989" s="341"/>
      <c r="F989" s="342"/>
      <c r="G989" s="343"/>
      <c r="H989" s="343"/>
      <c r="I989" s="343"/>
      <c r="J989" s="343"/>
    </row>
    <row r="990" ht="15.75" customHeight="1">
      <c r="A990" s="344"/>
      <c r="B990" s="345"/>
      <c r="C990" s="346"/>
      <c r="D990" s="347"/>
      <c r="E990" s="348"/>
      <c r="F990" s="349"/>
      <c r="G990" s="350"/>
      <c r="H990" s="350"/>
      <c r="I990" s="350"/>
      <c r="J990" s="350"/>
    </row>
    <row r="991" ht="15.75" customHeight="1">
      <c r="A991" s="337"/>
      <c r="B991" s="338"/>
      <c r="C991" s="339"/>
      <c r="D991" s="340"/>
      <c r="E991" s="341"/>
      <c r="F991" s="342"/>
      <c r="G991" s="343"/>
      <c r="H991" s="343"/>
      <c r="I991" s="343"/>
      <c r="J991" s="343"/>
    </row>
    <row r="992" ht="15.75" customHeight="1">
      <c r="A992" s="344"/>
      <c r="B992" s="345"/>
      <c r="C992" s="346"/>
      <c r="D992" s="347"/>
      <c r="E992" s="348"/>
      <c r="F992" s="349"/>
      <c r="G992" s="350"/>
      <c r="H992" s="350"/>
      <c r="I992" s="350"/>
      <c r="J992" s="350"/>
    </row>
    <row r="993" ht="15.75" customHeight="1">
      <c r="A993" s="337"/>
      <c r="B993" s="338"/>
      <c r="C993" s="339"/>
      <c r="D993" s="340"/>
      <c r="E993" s="341"/>
      <c r="F993" s="342"/>
      <c r="G993" s="343"/>
      <c r="H993" s="343"/>
      <c r="I993" s="343"/>
      <c r="J993" s="343"/>
    </row>
    <row r="994" ht="15.75" customHeight="1">
      <c r="A994" s="344"/>
      <c r="B994" s="345"/>
      <c r="C994" s="346"/>
      <c r="D994" s="347"/>
      <c r="E994" s="348"/>
      <c r="F994" s="349"/>
      <c r="G994" s="350"/>
      <c r="H994" s="350"/>
      <c r="I994" s="350"/>
      <c r="J994" s="350"/>
    </row>
    <row r="995" ht="15.75" customHeight="1">
      <c r="A995" s="337"/>
      <c r="B995" s="338"/>
      <c r="C995" s="339"/>
      <c r="D995" s="340"/>
      <c r="E995" s="341"/>
      <c r="F995" s="342"/>
      <c r="G995" s="343"/>
      <c r="H995" s="343"/>
      <c r="I995" s="343"/>
      <c r="J995" s="343"/>
    </row>
    <row r="996" ht="15.75" customHeight="1">
      <c r="A996" s="344"/>
      <c r="B996" s="345"/>
      <c r="C996" s="346"/>
      <c r="D996" s="347"/>
      <c r="E996" s="348"/>
      <c r="F996" s="349"/>
      <c r="G996" s="350"/>
      <c r="H996" s="350"/>
      <c r="I996" s="350"/>
      <c r="J996" s="350"/>
    </row>
    <row r="997" ht="15.75" customHeight="1">
      <c r="A997" s="337"/>
      <c r="B997" s="338"/>
      <c r="C997" s="339"/>
      <c r="D997" s="340"/>
      <c r="E997" s="341"/>
      <c r="F997" s="342"/>
      <c r="G997" s="343"/>
      <c r="H997" s="343"/>
      <c r="I997" s="343"/>
      <c r="J997" s="343"/>
    </row>
    <row r="998" ht="15.75" customHeight="1">
      <c r="A998" s="344"/>
      <c r="B998" s="345"/>
      <c r="C998" s="346"/>
      <c r="D998" s="347"/>
      <c r="E998" s="348"/>
      <c r="F998" s="349"/>
      <c r="G998" s="350"/>
      <c r="H998" s="350"/>
      <c r="I998" s="350"/>
      <c r="J998" s="350"/>
    </row>
    <row r="999" ht="15.75" customHeight="1">
      <c r="A999" s="337"/>
      <c r="B999" s="338"/>
      <c r="C999" s="339"/>
      <c r="D999" s="340"/>
      <c r="E999" s="341"/>
      <c r="F999" s="342"/>
      <c r="G999" s="343"/>
      <c r="H999" s="343"/>
      <c r="I999" s="343"/>
      <c r="J999" s="343"/>
    </row>
    <row r="1000" ht="15.75" customHeight="1">
      <c r="A1000" s="344"/>
      <c r="B1000" s="345"/>
      <c r="C1000" s="346"/>
      <c r="D1000" s="347"/>
      <c r="E1000" s="348"/>
      <c r="F1000" s="349"/>
      <c r="G1000" s="350"/>
      <c r="H1000" s="350"/>
      <c r="I1000" s="350"/>
      <c r="J1000" s="350"/>
    </row>
    <row r="1001" ht="15.75" customHeight="1">
      <c r="A1001" s="337"/>
      <c r="B1001" s="338"/>
      <c r="C1001" s="339"/>
      <c r="D1001" s="340"/>
      <c r="E1001" s="341"/>
      <c r="F1001" s="342"/>
      <c r="G1001" s="343"/>
      <c r="H1001" s="343"/>
      <c r="I1001" s="343"/>
      <c r="J1001" s="343"/>
    </row>
    <row r="1002" ht="15.75" customHeight="1">
      <c r="A1002" s="344"/>
      <c r="B1002" s="345"/>
      <c r="C1002" s="346"/>
      <c r="D1002" s="347"/>
      <c r="E1002" s="348"/>
      <c r="F1002" s="349"/>
      <c r="G1002" s="350"/>
      <c r="H1002" s="350"/>
      <c r="I1002" s="350"/>
      <c r="J1002" s="350"/>
    </row>
    <row r="1003" ht="15.75" customHeight="1">
      <c r="A1003" s="337"/>
      <c r="B1003" s="338"/>
      <c r="C1003" s="339"/>
      <c r="D1003" s="340"/>
      <c r="E1003" s="341"/>
      <c r="F1003" s="342"/>
      <c r="G1003" s="343"/>
      <c r="H1003" s="343"/>
      <c r="I1003" s="343"/>
      <c r="J1003" s="343"/>
    </row>
    <row r="1004" ht="15.75" customHeight="1">
      <c r="A1004" s="344"/>
      <c r="B1004" s="345"/>
      <c r="C1004" s="346"/>
      <c r="D1004" s="347"/>
      <c r="E1004" s="348"/>
      <c r="F1004" s="349"/>
      <c r="G1004" s="350"/>
      <c r="H1004" s="350"/>
      <c r="I1004" s="350"/>
      <c r="J1004" s="350"/>
    </row>
    <row r="1005" ht="15.75" customHeight="1">
      <c r="A1005" s="337"/>
      <c r="B1005" s="338"/>
      <c r="C1005" s="339"/>
      <c r="D1005" s="340"/>
      <c r="E1005" s="341"/>
      <c r="F1005" s="342"/>
      <c r="G1005" s="343"/>
      <c r="H1005" s="343"/>
      <c r="I1005" s="343"/>
      <c r="J1005" s="343"/>
    </row>
    <row r="1006" ht="15.75" customHeight="1">
      <c r="A1006" s="344"/>
      <c r="B1006" s="345"/>
      <c r="C1006" s="346"/>
      <c r="D1006" s="347"/>
      <c r="E1006" s="348"/>
      <c r="F1006" s="349"/>
      <c r="G1006" s="350"/>
      <c r="H1006" s="350"/>
      <c r="I1006" s="350"/>
      <c r="J1006" s="350"/>
    </row>
    <row r="1007" ht="15.75" customHeight="1">
      <c r="A1007" s="337"/>
      <c r="B1007" s="338"/>
      <c r="C1007" s="339"/>
      <c r="D1007" s="340"/>
      <c r="E1007" s="341"/>
      <c r="F1007" s="342"/>
      <c r="G1007" s="343"/>
      <c r="H1007" s="343"/>
      <c r="I1007" s="343"/>
      <c r="J1007" s="343"/>
    </row>
    <row r="1008" ht="15.75" customHeight="1">
      <c r="A1008" s="344"/>
      <c r="B1008" s="345"/>
      <c r="C1008" s="346"/>
      <c r="D1008" s="347"/>
      <c r="E1008" s="348"/>
      <c r="F1008" s="349"/>
      <c r="G1008" s="350"/>
      <c r="H1008" s="350"/>
      <c r="I1008" s="350"/>
      <c r="J1008" s="350"/>
    </row>
    <row r="1009" ht="15.75" customHeight="1">
      <c r="A1009" s="337"/>
      <c r="B1009" s="338"/>
      <c r="C1009" s="339"/>
      <c r="D1009" s="340"/>
      <c r="E1009" s="341"/>
      <c r="F1009" s="342"/>
      <c r="G1009" s="343"/>
      <c r="H1009" s="343"/>
      <c r="I1009" s="343"/>
      <c r="J1009" s="343"/>
    </row>
    <row r="1010" ht="15.75" customHeight="1">
      <c r="A1010" s="344"/>
      <c r="B1010" s="345"/>
      <c r="C1010" s="346"/>
      <c r="D1010" s="347"/>
      <c r="E1010" s="348"/>
      <c r="F1010" s="349"/>
      <c r="G1010" s="350"/>
      <c r="H1010" s="350"/>
      <c r="I1010" s="350"/>
      <c r="J1010" s="350"/>
    </row>
    <row r="1011" ht="15.75" customHeight="1">
      <c r="A1011" s="337"/>
      <c r="B1011" s="338"/>
      <c r="C1011" s="339"/>
      <c r="D1011" s="340"/>
      <c r="E1011" s="341"/>
      <c r="F1011" s="342"/>
      <c r="G1011" s="343"/>
      <c r="H1011" s="343"/>
      <c r="I1011" s="343"/>
      <c r="J1011" s="343"/>
    </row>
    <row r="1012" ht="15.75" customHeight="1">
      <c r="A1012" s="344"/>
      <c r="B1012" s="345"/>
      <c r="C1012" s="346"/>
      <c r="D1012" s="347"/>
      <c r="E1012" s="348"/>
      <c r="F1012" s="349"/>
      <c r="G1012" s="350"/>
      <c r="H1012" s="350"/>
      <c r="I1012" s="350"/>
      <c r="J1012" s="350"/>
    </row>
    <row r="1013" ht="15.75" customHeight="1">
      <c r="A1013" s="337"/>
      <c r="B1013" s="338"/>
      <c r="C1013" s="339"/>
      <c r="D1013" s="340"/>
      <c r="E1013" s="341"/>
      <c r="F1013" s="342"/>
      <c r="G1013" s="343"/>
      <c r="H1013" s="343"/>
      <c r="I1013" s="343"/>
      <c r="J1013" s="343"/>
    </row>
    <row r="1014" ht="15.75" customHeight="1">
      <c r="A1014" s="344"/>
      <c r="B1014" s="345"/>
      <c r="C1014" s="346"/>
      <c r="D1014" s="347"/>
      <c r="E1014" s="348"/>
      <c r="F1014" s="349"/>
      <c r="G1014" s="350"/>
      <c r="H1014" s="350"/>
      <c r="I1014" s="350"/>
      <c r="J1014" s="350"/>
    </row>
    <row r="1015" ht="15.75" customHeight="1">
      <c r="A1015" s="337"/>
      <c r="B1015" s="338"/>
      <c r="C1015" s="339"/>
      <c r="D1015" s="340"/>
      <c r="E1015" s="341"/>
      <c r="F1015" s="342"/>
      <c r="G1015" s="343"/>
      <c r="H1015" s="343"/>
      <c r="I1015" s="343"/>
      <c r="J1015" s="343"/>
    </row>
    <row r="1016" ht="15.75" customHeight="1">
      <c r="A1016" s="344"/>
      <c r="B1016" s="345"/>
      <c r="C1016" s="346"/>
      <c r="D1016" s="347"/>
      <c r="E1016" s="348"/>
      <c r="F1016" s="349"/>
      <c r="G1016" s="350"/>
      <c r="H1016" s="350"/>
      <c r="I1016" s="350"/>
      <c r="J1016" s="350"/>
    </row>
    <row r="1017" ht="15.75" customHeight="1">
      <c r="A1017" s="337"/>
      <c r="B1017" s="338"/>
      <c r="C1017" s="339"/>
      <c r="D1017" s="340"/>
      <c r="E1017" s="341"/>
      <c r="F1017" s="342"/>
      <c r="G1017" s="343"/>
      <c r="H1017" s="343"/>
      <c r="I1017" s="343"/>
      <c r="J1017" s="343"/>
    </row>
    <row r="1018" ht="15.75" customHeight="1">
      <c r="A1018" s="344"/>
      <c r="B1018" s="345"/>
      <c r="C1018" s="346"/>
      <c r="D1018" s="347"/>
      <c r="E1018" s="348"/>
      <c r="F1018" s="349"/>
      <c r="G1018" s="350"/>
      <c r="H1018" s="350"/>
      <c r="I1018" s="350"/>
      <c r="J1018" s="350"/>
    </row>
    <row r="1019" ht="15.75" customHeight="1">
      <c r="A1019" s="337"/>
      <c r="B1019" s="338"/>
      <c r="C1019" s="339"/>
      <c r="D1019" s="340"/>
      <c r="E1019" s="341"/>
      <c r="F1019" s="342"/>
      <c r="G1019" s="343"/>
      <c r="H1019" s="343"/>
      <c r="I1019" s="343"/>
      <c r="J1019" s="343"/>
    </row>
    <row r="1020" ht="15.75" customHeight="1">
      <c r="A1020" s="344"/>
      <c r="B1020" s="345"/>
      <c r="C1020" s="346"/>
      <c r="D1020" s="347"/>
      <c r="E1020" s="348"/>
      <c r="F1020" s="349"/>
      <c r="G1020" s="350"/>
      <c r="H1020" s="350"/>
      <c r="I1020" s="350"/>
      <c r="J1020" s="350"/>
    </row>
    <row r="1021" ht="15.75" customHeight="1">
      <c r="A1021" s="337"/>
      <c r="B1021" s="338"/>
      <c r="C1021" s="339"/>
      <c r="D1021" s="340"/>
      <c r="E1021" s="341"/>
      <c r="F1021" s="342"/>
      <c r="G1021" s="343"/>
      <c r="H1021" s="343"/>
      <c r="I1021" s="343"/>
      <c r="J1021" s="343"/>
    </row>
    <row r="1022" ht="15.75" customHeight="1">
      <c r="A1022" s="344"/>
      <c r="B1022" s="345"/>
      <c r="C1022" s="346"/>
      <c r="D1022" s="347"/>
      <c r="E1022" s="348"/>
      <c r="F1022" s="349"/>
      <c r="G1022" s="350"/>
      <c r="H1022" s="350"/>
      <c r="I1022" s="350"/>
      <c r="J1022" s="350"/>
    </row>
    <row r="1023" ht="15.75" customHeight="1">
      <c r="A1023" s="337"/>
      <c r="B1023" s="338"/>
      <c r="C1023" s="339"/>
      <c r="D1023" s="340"/>
      <c r="E1023" s="341"/>
      <c r="F1023" s="342"/>
      <c r="G1023" s="343"/>
      <c r="H1023" s="343"/>
      <c r="I1023" s="343"/>
      <c r="J1023" s="343"/>
    </row>
    <row r="1024" ht="15.75" customHeight="1">
      <c r="A1024" s="344"/>
      <c r="B1024" s="345"/>
      <c r="C1024" s="346"/>
      <c r="D1024" s="347"/>
      <c r="E1024" s="348"/>
      <c r="F1024" s="349"/>
      <c r="G1024" s="350"/>
      <c r="H1024" s="350"/>
      <c r="I1024" s="350"/>
      <c r="J1024" s="350"/>
    </row>
    <row r="1025" ht="15.75" customHeight="1">
      <c r="A1025" s="337"/>
      <c r="B1025" s="338"/>
      <c r="C1025" s="339"/>
      <c r="D1025" s="340"/>
      <c r="E1025" s="341"/>
      <c r="F1025" s="342"/>
      <c r="G1025" s="343"/>
      <c r="H1025" s="343"/>
      <c r="I1025" s="343"/>
      <c r="J1025" s="343"/>
    </row>
    <row r="1026" ht="15.75" customHeight="1">
      <c r="A1026" s="344"/>
      <c r="B1026" s="345"/>
      <c r="C1026" s="346"/>
      <c r="D1026" s="347"/>
      <c r="E1026" s="348"/>
      <c r="F1026" s="349"/>
      <c r="G1026" s="350"/>
      <c r="H1026" s="350"/>
      <c r="I1026" s="350"/>
      <c r="J1026" s="350"/>
    </row>
    <row r="1027" ht="15.75" customHeight="1">
      <c r="A1027" s="337"/>
      <c r="B1027" s="338"/>
      <c r="C1027" s="339"/>
      <c r="D1027" s="340"/>
      <c r="E1027" s="341"/>
      <c r="F1027" s="342"/>
      <c r="G1027" s="343"/>
      <c r="H1027" s="343"/>
      <c r="I1027" s="343"/>
      <c r="J1027" s="343"/>
    </row>
    <row r="1028" ht="15.75" customHeight="1">
      <c r="A1028" s="344"/>
      <c r="B1028" s="345"/>
      <c r="C1028" s="346"/>
      <c r="D1028" s="347"/>
      <c r="E1028" s="348"/>
      <c r="F1028" s="349"/>
      <c r="G1028" s="350"/>
      <c r="H1028" s="350"/>
      <c r="I1028" s="350"/>
      <c r="J1028" s="350"/>
    </row>
    <row r="1029" ht="15.75" customHeight="1">
      <c r="A1029" s="337"/>
      <c r="B1029" s="338"/>
      <c r="C1029" s="339"/>
      <c r="D1029" s="340"/>
      <c r="E1029" s="341"/>
      <c r="F1029" s="342"/>
      <c r="G1029" s="343"/>
      <c r="H1029" s="343"/>
      <c r="I1029" s="343"/>
      <c r="J1029" s="343"/>
    </row>
    <row r="1030" ht="15.75" customHeight="1">
      <c r="A1030" s="344"/>
      <c r="B1030" s="345"/>
      <c r="C1030" s="346"/>
      <c r="D1030" s="347"/>
      <c r="E1030" s="348"/>
      <c r="F1030" s="349"/>
      <c r="G1030" s="350"/>
      <c r="H1030" s="350"/>
      <c r="I1030" s="350"/>
      <c r="J1030" s="350"/>
    </row>
    <row r="1031" ht="15.75" customHeight="1">
      <c r="A1031" s="337"/>
      <c r="B1031" s="338"/>
      <c r="C1031" s="339"/>
      <c r="D1031" s="340"/>
      <c r="E1031" s="341"/>
      <c r="F1031" s="342"/>
      <c r="G1031" s="343"/>
      <c r="H1031" s="343"/>
      <c r="I1031" s="343"/>
      <c r="J1031" s="343"/>
    </row>
    <row r="1032" ht="15.75" customHeight="1">
      <c r="A1032" s="344"/>
      <c r="B1032" s="345"/>
      <c r="C1032" s="346"/>
      <c r="D1032" s="347"/>
      <c r="E1032" s="348"/>
      <c r="F1032" s="349"/>
      <c r="G1032" s="350"/>
      <c r="H1032" s="350"/>
      <c r="I1032" s="350"/>
      <c r="J1032" s="350"/>
    </row>
    <row r="1033" ht="15.75" customHeight="1">
      <c r="A1033" s="337"/>
      <c r="B1033" s="338"/>
      <c r="C1033" s="339"/>
      <c r="D1033" s="340"/>
      <c r="E1033" s="341"/>
      <c r="F1033" s="342"/>
      <c r="G1033" s="343"/>
      <c r="H1033" s="343"/>
      <c r="I1033" s="343"/>
      <c r="J1033" s="343"/>
    </row>
    <row r="1034" ht="15.75" customHeight="1">
      <c r="A1034" s="344"/>
      <c r="B1034" s="345"/>
      <c r="C1034" s="346"/>
      <c r="D1034" s="347"/>
      <c r="E1034" s="348"/>
      <c r="F1034" s="349"/>
      <c r="G1034" s="350"/>
      <c r="H1034" s="350"/>
      <c r="I1034" s="350"/>
      <c r="J1034" s="350"/>
    </row>
    <row r="1035" ht="15.75" customHeight="1">
      <c r="A1035" s="337"/>
      <c r="B1035" s="338"/>
      <c r="C1035" s="339"/>
      <c r="D1035" s="340"/>
      <c r="E1035" s="341"/>
      <c r="F1035" s="342"/>
      <c r="G1035" s="343"/>
      <c r="H1035" s="343"/>
      <c r="I1035" s="343"/>
      <c r="J1035" s="343"/>
    </row>
    <row r="1036" ht="15.75" customHeight="1">
      <c r="A1036" s="344"/>
      <c r="B1036" s="345"/>
      <c r="C1036" s="346"/>
      <c r="D1036" s="347"/>
      <c r="E1036" s="348"/>
      <c r="F1036" s="349"/>
      <c r="G1036" s="350"/>
      <c r="H1036" s="350"/>
      <c r="I1036" s="350"/>
      <c r="J1036" s="350"/>
    </row>
    <row r="1037" ht="15.75" customHeight="1">
      <c r="A1037" s="337"/>
      <c r="B1037" s="338"/>
      <c r="C1037" s="339"/>
      <c r="D1037" s="340"/>
      <c r="E1037" s="341"/>
      <c r="F1037" s="342"/>
      <c r="G1037" s="343"/>
      <c r="H1037" s="343"/>
      <c r="I1037" s="343"/>
      <c r="J1037" s="343"/>
    </row>
    <row r="1038" ht="15.75" customHeight="1">
      <c r="A1038" s="344"/>
      <c r="B1038" s="345"/>
      <c r="C1038" s="346"/>
      <c r="D1038" s="347"/>
      <c r="E1038" s="348"/>
      <c r="F1038" s="349"/>
      <c r="G1038" s="350"/>
      <c r="H1038" s="350"/>
      <c r="I1038" s="350"/>
      <c r="J1038" s="350"/>
    </row>
    <row r="1039" ht="15.75" customHeight="1">
      <c r="A1039" s="337"/>
      <c r="B1039" s="338"/>
      <c r="C1039" s="339"/>
      <c r="D1039" s="340"/>
      <c r="E1039" s="341"/>
      <c r="F1039" s="342"/>
      <c r="G1039" s="343"/>
      <c r="H1039" s="343"/>
      <c r="I1039" s="343"/>
      <c r="J1039" s="343"/>
    </row>
    <row r="1040" ht="15.75" customHeight="1">
      <c r="A1040" s="344"/>
      <c r="B1040" s="345"/>
      <c r="C1040" s="346"/>
      <c r="D1040" s="347"/>
      <c r="E1040" s="348"/>
      <c r="F1040" s="349"/>
      <c r="G1040" s="350"/>
      <c r="H1040" s="350"/>
      <c r="I1040" s="350"/>
      <c r="J1040" s="350"/>
    </row>
    <row r="1041" ht="15.75" customHeight="1">
      <c r="A1041" s="337"/>
      <c r="B1041" s="338"/>
      <c r="C1041" s="339"/>
      <c r="D1041" s="340"/>
      <c r="E1041" s="341"/>
      <c r="F1041" s="342"/>
      <c r="G1041" s="343"/>
      <c r="H1041" s="343"/>
      <c r="I1041" s="343"/>
      <c r="J1041" s="343"/>
    </row>
    <row r="1042" ht="15.75" customHeight="1">
      <c r="A1042" s="344"/>
      <c r="B1042" s="345"/>
      <c r="C1042" s="346"/>
      <c r="D1042" s="347"/>
      <c r="E1042" s="348"/>
      <c r="F1042" s="349"/>
      <c r="G1042" s="350"/>
      <c r="H1042" s="350"/>
      <c r="I1042" s="350"/>
      <c r="J1042" s="350"/>
    </row>
    <row r="1043" ht="15.75" customHeight="1">
      <c r="A1043" s="337"/>
      <c r="B1043" s="338"/>
      <c r="C1043" s="339"/>
      <c r="D1043" s="340"/>
      <c r="E1043" s="341"/>
      <c r="F1043" s="342"/>
      <c r="G1043" s="343"/>
      <c r="H1043" s="343"/>
      <c r="I1043" s="343"/>
      <c r="J1043" s="343"/>
    </row>
    <row r="1044" ht="15.75" customHeight="1">
      <c r="A1044" s="344"/>
      <c r="B1044" s="345"/>
      <c r="C1044" s="346"/>
      <c r="D1044" s="347"/>
      <c r="E1044" s="348"/>
      <c r="F1044" s="349"/>
      <c r="G1044" s="350"/>
      <c r="H1044" s="350"/>
      <c r="I1044" s="350"/>
      <c r="J1044" s="350"/>
    </row>
    <row r="1045" ht="15.75" customHeight="1">
      <c r="A1045" s="337"/>
      <c r="B1045" s="338"/>
      <c r="C1045" s="339"/>
      <c r="D1045" s="340"/>
      <c r="E1045" s="341"/>
      <c r="F1045" s="342"/>
      <c r="G1045" s="343"/>
      <c r="H1045" s="343"/>
      <c r="I1045" s="343"/>
      <c r="J1045" s="343"/>
    </row>
    <row r="1046" ht="15.75" customHeight="1">
      <c r="A1046" s="344"/>
      <c r="B1046" s="345"/>
      <c r="C1046" s="346"/>
      <c r="D1046" s="347"/>
      <c r="E1046" s="348"/>
      <c r="F1046" s="349"/>
      <c r="G1046" s="350"/>
      <c r="H1046" s="350"/>
      <c r="I1046" s="350"/>
      <c r="J1046" s="350"/>
    </row>
    <row r="1047" ht="15.75" customHeight="1">
      <c r="A1047" s="337"/>
      <c r="B1047" s="338"/>
      <c r="C1047" s="339"/>
      <c r="D1047" s="340"/>
      <c r="E1047" s="341"/>
      <c r="F1047" s="342"/>
      <c r="G1047" s="343"/>
      <c r="H1047" s="343"/>
      <c r="I1047" s="343"/>
      <c r="J1047" s="343"/>
    </row>
    <row r="1048" ht="15.75" customHeight="1">
      <c r="A1048" s="344"/>
      <c r="B1048" s="345"/>
      <c r="C1048" s="346"/>
      <c r="D1048" s="347"/>
      <c r="E1048" s="348"/>
      <c r="F1048" s="349"/>
      <c r="G1048" s="350"/>
      <c r="H1048" s="350"/>
      <c r="I1048" s="350"/>
      <c r="J1048" s="350"/>
    </row>
    <row r="1049" ht="15.75" customHeight="1">
      <c r="A1049" s="337"/>
      <c r="B1049" s="338"/>
      <c r="C1049" s="339"/>
      <c r="D1049" s="340"/>
      <c r="E1049" s="341"/>
      <c r="F1049" s="342"/>
      <c r="G1049" s="343"/>
      <c r="H1049" s="343"/>
      <c r="I1049" s="343"/>
      <c r="J1049" s="343"/>
    </row>
    <row r="1050" ht="15.75" customHeight="1">
      <c r="A1050" s="344"/>
      <c r="B1050" s="345"/>
      <c r="C1050" s="346"/>
      <c r="D1050" s="347"/>
      <c r="E1050" s="348"/>
      <c r="F1050" s="349"/>
      <c r="G1050" s="350"/>
      <c r="H1050" s="350"/>
      <c r="I1050" s="350"/>
      <c r="J1050" s="350"/>
    </row>
    <row r="1051" ht="15.75" customHeight="1">
      <c r="A1051" s="337"/>
      <c r="B1051" s="338"/>
      <c r="C1051" s="339"/>
      <c r="D1051" s="340"/>
      <c r="E1051" s="341"/>
      <c r="F1051" s="342"/>
      <c r="G1051" s="343"/>
      <c r="H1051" s="343"/>
      <c r="I1051" s="343"/>
      <c r="J1051" s="343"/>
    </row>
    <row r="1052" ht="15.75" customHeight="1">
      <c r="A1052" s="344"/>
      <c r="B1052" s="345"/>
      <c r="C1052" s="346"/>
      <c r="D1052" s="347"/>
      <c r="E1052" s="348"/>
      <c r="F1052" s="349"/>
      <c r="G1052" s="350"/>
      <c r="H1052" s="350"/>
      <c r="I1052" s="350"/>
      <c r="J1052" s="350"/>
    </row>
    <row r="1053" ht="15.75" customHeight="1">
      <c r="A1053" s="337"/>
      <c r="B1053" s="338"/>
      <c r="C1053" s="339"/>
      <c r="D1053" s="340"/>
      <c r="E1053" s="341"/>
      <c r="F1053" s="342"/>
      <c r="G1053" s="343"/>
      <c r="H1053" s="343"/>
      <c r="I1053" s="343"/>
      <c r="J1053" s="343"/>
    </row>
    <row r="1054" ht="15.75" customHeight="1">
      <c r="A1054" s="344"/>
      <c r="B1054" s="345"/>
      <c r="C1054" s="346"/>
      <c r="D1054" s="347"/>
      <c r="E1054" s="348"/>
      <c r="F1054" s="349"/>
      <c r="G1054" s="350"/>
      <c r="H1054" s="350"/>
      <c r="I1054" s="350"/>
      <c r="J1054" s="350"/>
    </row>
    <row r="1055" ht="15.75" customHeight="1">
      <c r="A1055" s="337"/>
      <c r="B1055" s="338"/>
      <c r="C1055" s="339"/>
      <c r="D1055" s="340"/>
      <c r="E1055" s="341"/>
      <c r="F1055" s="342"/>
      <c r="G1055" s="343"/>
      <c r="H1055" s="343"/>
      <c r="I1055" s="343"/>
      <c r="J1055" s="343"/>
    </row>
    <row r="1056" ht="15.75" customHeight="1">
      <c r="A1056" s="344"/>
      <c r="B1056" s="345"/>
      <c r="C1056" s="346"/>
      <c r="D1056" s="347"/>
      <c r="E1056" s="348"/>
      <c r="F1056" s="349"/>
      <c r="G1056" s="350"/>
      <c r="H1056" s="350"/>
      <c r="I1056" s="350"/>
      <c r="J1056" s="350"/>
    </row>
    <row r="1057" ht="15.75" customHeight="1">
      <c r="A1057" s="337"/>
      <c r="B1057" s="338"/>
      <c r="C1057" s="339"/>
      <c r="D1057" s="340"/>
      <c r="E1057" s="341"/>
      <c r="F1057" s="342"/>
      <c r="G1057" s="343"/>
      <c r="H1057" s="343"/>
      <c r="I1057" s="343"/>
      <c r="J1057" s="343"/>
    </row>
    <row r="1058" ht="15.75" customHeight="1">
      <c r="A1058" s="344"/>
      <c r="B1058" s="345"/>
      <c r="C1058" s="346"/>
      <c r="D1058" s="347"/>
      <c r="E1058" s="348"/>
      <c r="F1058" s="349"/>
      <c r="G1058" s="350"/>
      <c r="H1058" s="350"/>
      <c r="I1058" s="350"/>
      <c r="J1058" s="350"/>
    </row>
    <row r="1059" ht="15.75" customHeight="1">
      <c r="A1059" s="337"/>
      <c r="B1059" s="338"/>
      <c r="C1059" s="339"/>
      <c r="D1059" s="340"/>
      <c r="E1059" s="341"/>
      <c r="F1059" s="342"/>
      <c r="G1059" s="343"/>
      <c r="H1059" s="343"/>
      <c r="I1059" s="343"/>
      <c r="J1059" s="343"/>
    </row>
    <row r="1060" ht="15.75" customHeight="1">
      <c r="A1060" s="344"/>
      <c r="B1060" s="345"/>
      <c r="C1060" s="346"/>
      <c r="D1060" s="347"/>
      <c r="E1060" s="348"/>
      <c r="F1060" s="349"/>
      <c r="G1060" s="350"/>
      <c r="H1060" s="350"/>
      <c r="I1060" s="350"/>
      <c r="J1060" s="350"/>
    </row>
    <row r="1061" ht="15.75" customHeight="1">
      <c r="A1061" s="337"/>
      <c r="B1061" s="338"/>
      <c r="C1061" s="339"/>
      <c r="D1061" s="340"/>
      <c r="E1061" s="341"/>
      <c r="F1061" s="342"/>
      <c r="G1061" s="343"/>
      <c r="H1061" s="343"/>
      <c r="I1061" s="343"/>
      <c r="J1061" s="343"/>
    </row>
    <row r="1062" ht="15.75" customHeight="1">
      <c r="A1062" s="344"/>
      <c r="B1062" s="345"/>
      <c r="C1062" s="346"/>
      <c r="D1062" s="347"/>
      <c r="E1062" s="348"/>
      <c r="F1062" s="349"/>
      <c r="G1062" s="350"/>
      <c r="H1062" s="350"/>
      <c r="I1062" s="350"/>
      <c r="J1062" s="350"/>
    </row>
    <row r="1063" ht="15.75" customHeight="1">
      <c r="A1063" s="337"/>
      <c r="B1063" s="338"/>
      <c r="C1063" s="339"/>
      <c r="D1063" s="340"/>
      <c r="E1063" s="341"/>
      <c r="F1063" s="342"/>
      <c r="G1063" s="343"/>
      <c r="H1063" s="343"/>
      <c r="I1063" s="343"/>
      <c r="J1063" s="343"/>
    </row>
    <row r="1064" ht="15.75" customHeight="1">
      <c r="A1064" s="344"/>
      <c r="B1064" s="345"/>
      <c r="C1064" s="346"/>
      <c r="D1064" s="347"/>
      <c r="E1064" s="348"/>
      <c r="F1064" s="349"/>
      <c r="G1064" s="350"/>
      <c r="H1064" s="350"/>
      <c r="I1064" s="350"/>
      <c r="J1064" s="350"/>
    </row>
    <row r="1065" ht="15.75" customHeight="1">
      <c r="A1065" s="337"/>
      <c r="B1065" s="338"/>
      <c r="C1065" s="339"/>
      <c r="D1065" s="340"/>
      <c r="E1065" s="341"/>
      <c r="F1065" s="342"/>
      <c r="G1065" s="343"/>
      <c r="H1065" s="343"/>
      <c r="I1065" s="343"/>
      <c r="J1065" s="343"/>
    </row>
    <row r="1066" ht="15.75" customHeight="1">
      <c r="A1066" s="344"/>
      <c r="B1066" s="345"/>
      <c r="C1066" s="346"/>
      <c r="D1066" s="347"/>
      <c r="E1066" s="348"/>
      <c r="F1066" s="349"/>
      <c r="G1066" s="350"/>
      <c r="H1066" s="350"/>
      <c r="I1066" s="350"/>
      <c r="J1066" s="350"/>
    </row>
    <row r="1067" ht="15.75" customHeight="1">
      <c r="A1067" s="337"/>
      <c r="B1067" s="338"/>
      <c r="C1067" s="339"/>
      <c r="D1067" s="340"/>
      <c r="E1067" s="341"/>
      <c r="F1067" s="342"/>
      <c r="G1067" s="343"/>
      <c r="H1067" s="343"/>
      <c r="I1067" s="343"/>
      <c r="J1067" s="343"/>
    </row>
    <row r="1068" ht="15.75" customHeight="1">
      <c r="A1068" s="344"/>
      <c r="B1068" s="345"/>
      <c r="C1068" s="346"/>
      <c r="D1068" s="347"/>
      <c r="E1068" s="348"/>
      <c r="F1068" s="349"/>
      <c r="G1068" s="350"/>
      <c r="H1068" s="350"/>
      <c r="I1068" s="350"/>
      <c r="J1068" s="350"/>
    </row>
    <row r="1069" ht="15.75" customHeight="1">
      <c r="A1069" s="337"/>
      <c r="B1069" s="338"/>
      <c r="C1069" s="339"/>
      <c r="D1069" s="340"/>
      <c r="E1069" s="341"/>
      <c r="F1069" s="342"/>
      <c r="G1069" s="343"/>
      <c r="H1069" s="343"/>
      <c r="I1069" s="343"/>
      <c r="J1069" s="343"/>
    </row>
    <row r="1070" ht="15.75" customHeight="1">
      <c r="A1070" s="344"/>
      <c r="B1070" s="345"/>
      <c r="C1070" s="346"/>
      <c r="D1070" s="347"/>
      <c r="E1070" s="348"/>
      <c r="F1070" s="349"/>
      <c r="G1070" s="350"/>
      <c r="H1070" s="350"/>
      <c r="I1070" s="350"/>
      <c r="J1070" s="350"/>
    </row>
    <row r="1071" ht="15.75" customHeight="1">
      <c r="A1071" s="337"/>
      <c r="B1071" s="338"/>
      <c r="C1071" s="339"/>
      <c r="D1071" s="340"/>
      <c r="E1071" s="341"/>
      <c r="F1071" s="342"/>
      <c r="G1071" s="343"/>
      <c r="H1071" s="343"/>
      <c r="I1071" s="343"/>
      <c r="J1071" s="343"/>
    </row>
    <row r="1072" ht="15.75" customHeight="1">
      <c r="A1072" s="344"/>
      <c r="B1072" s="345"/>
      <c r="C1072" s="346"/>
      <c r="D1072" s="347"/>
      <c r="E1072" s="348"/>
      <c r="F1072" s="349"/>
      <c r="G1072" s="350"/>
      <c r="H1072" s="350"/>
      <c r="I1072" s="350"/>
      <c r="J1072" s="350"/>
    </row>
    <row r="1073" ht="15.75" customHeight="1">
      <c r="A1073" s="337"/>
      <c r="B1073" s="338"/>
      <c r="C1073" s="339"/>
      <c r="D1073" s="340"/>
      <c r="E1073" s="341"/>
      <c r="F1073" s="342"/>
      <c r="G1073" s="343"/>
      <c r="H1073" s="343"/>
      <c r="I1073" s="343"/>
      <c r="J1073" s="343"/>
    </row>
    <row r="1074" ht="15.75" customHeight="1">
      <c r="A1074" s="344"/>
      <c r="B1074" s="345"/>
      <c r="C1074" s="346"/>
      <c r="D1074" s="347"/>
      <c r="E1074" s="348"/>
      <c r="F1074" s="349"/>
      <c r="G1074" s="350"/>
      <c r="H1074" s="350"/>
      <c r="I1074" s="350"/>
      <c r="J1074" s="350"/>
    </row>
    <row r="1075" ht="15.75" customHeight="1">
      <c r="A1075" s="337"/>
      <c r="B1075" s="338"/>
      <c r="C1075" s="339"/>
      <c r="D1075" s="340"/>
      <c r="E1075" s="341"/>
      <c r="F1075" s="342"/>
      <c r="G1075" s="343"/>
      <c r="H1075" s="343"/>
      <c r="I1075" s="343"/>
      <c r="J1075" s="343"/>
    </row>
    <row r="1076" ht="15.75" customHeight="1">
      <c r="A1076" s="344"/>
      <c r="B1076" s="345"/>
      <c r="C1076" s="346"/>
      <c r="D1076" s="347"/>
      <c r="E1076" s="348"/>
      <c r="F1076" s="349"/>
      <c r="G1076" s="350"/>
      <c r="H1076" s="350"/>
      <c r="I1076" s="350"/>
      <c r="J1076" s="350"/>
    </row>
    <row r="1077" ht="15.75" customHeight="1">
      <c r="A1077" s="337"/>
      <c r="B1077" s="338"/>
      <c r="C1077" s="339"/>
      <c r="D1077" s="340"/>
      <c r="E1077" s="341"/>
      <c r="F1077" s="342"/>
      <c r="G1077" s="343"/>
      <c r="H1077" s="343"/>
      <c r="I1077" s="343"/>
      <c r="J1077" s="343"/>
    </row>
    <row r="1078" ht="15.75" customHeight="1">
      <c r="A1078" s="344"/>
      <c r="B1078" s="345"/>
      <c r="C1078" s="346"/>
      <c r="D1078" s="347"/>
      <c r="E1078" s="348"/>
      <c r="F1078" s="349"/>
      <c r="G1078" s="350"/>
      <c r="H1078" s="350"/>
      <c r="I1078" s="350"/>
      <c r="J1078" s="350"/>
    </row>
    <row r="1079" ht="15.75" customHeight="1">
      <c r="A1079" s="337"/>
      <c r="B1079" s="338"/>
      <c r="C1079" s="339"/>
      <c r="D1079" s="340"/>
      <c r="E1079" s="341"/>
      <c r="F1079" s="342"/>
      <c r="G1079" s="343"/>
      <c r="H1079" s="343"/>
      <c r="I1079" s="343"/>
      <c r="J1079" s="343"/>
    </row>
    <row r="1080" ht="15.75" customHeight="1">
      <c r="A1080" s="344"/>
      <c r="B1080" s="345"/>
      <c r="C1080" s="346"/>
      <c r="D1080" s="347"/>
      <c r="E1080" s="348"/>
      <c r="F1080" s="349"/>
      <c r="G1080" s="350"/>
      <c r="H1080" s="350"/>
      <c r="I1080" s="350"/>
      <c r="J1080" s="350"/>
    </row>
    <row r="1081" ht="15.75" customHeight="1">
      <c r="A1081" s="337"/>
      <c r="B1081" s="338"/>
      <c r="C1081" s="339"/>
      <c r="D1081" s="340"/>
      <c r="E1081" s="341"/>
      <c r="F1081" s="342"/>
      <c r="G1081" s="343"/>
      <c r="H1081" s="343"/>
      <c r="I1081" s="343"/>
      <c r="J1081" s="343"/>
    </row>
    <row r="1082" ht="15.75" customHeight="1">
      <c r="A1082" s="344"/>
      <c r="B1082" s="345"/>
      <c r="C1082" s="346"/>
      <c r="D1082" s="347"/>
      <c r="E1082" s="348"/>
      <c r="F1082" s="349"/>
      <c r="G1082" s="350"/>
      <c r="H1082" s="350"/>
      <c r="I1082" s="350"/>
      <c r="J1082" s="350"/>
    </row>
    <row r="1083" ht="15.75" customHeight="1">
      <c r="A1083" s="337"/>
      <c r="B1083" s="338"/>
      <c r="C1083" s="339"/>
      <c r="D1083" s="340"/>
      <c r="E1083" s="341"/>
      <c r="F1083" s="342"/>
      <c r="G1083" s="343"/>
      <c r="H1083" s="343"/>
      <c r="I1083" s="343"/>
      <c r="J1083" s="343"/>
    </row>
    <row r="1084" ht="15.75" customHeight="1">
      <c r="A1084" s="344"/>
      <c r="B1084" s="345"/>
      <c r="C1084" s="346"/>
      <c r="D1084" s="347"/>
      <c r="E1084" s="348"/>
      <c r="F1084" s="349"/>
      <c r="G1084" s="350"/>
      <c r="H1084" s="350"/>
      <c r="I1084" s="350"/>
      <c r="J1084" s="350"/>
    </row>
    <row r="1085" ht="15.75" customHeight="1">
      <c r="A1085" s="337"/>
      <c r="B1085" s="338"/>
      <c r="C1085" s="339"/>
      <c r="D1085" s="340"/>
      <c r="E1085" s="341"/>
      <c r="F1085" s="342"/>
      <c r="G1085" s="343"/>
      <c r="H1085" s="343"/>
      <c r="I1085" s="343"/>
      <c r="J1085" s="343"/>
    </row>
    <row r="1086" ht="15.75" customHeight="1">
      <c r="A1086" s="344"/>
      <c r="B1086" s="345"/>
      <c r="C1086" s="346"/>
      <c r="D1086" s="347"/>
      <c r="E1086" s="348"/>
      <c r="F1086" s="349"/>
      <c r="G1086" s="350"/>
      <c r="H1086" s="350"/>
      <c r="I1086" s="350"/>
      <c r="J1086" s="350"/>
    </row>
    <row r="1087" ht="15.75" customHeight="1">
      <c r="A1087" s="337"/>
      <c r="B1087" s="338"/>
      <c r="C1087" s="339"/>
      <c r="D1087" s="340"/>
      <c r="E1087" s="341"/>
      <c r="F1087" s="342"/>
      <c r="G1087" s="343"/>
      <c r="H1087" s="410"/>
      <c r="I1087" s="410"/>
      <c r="J1087" s="411"/>
    </row>
    <row r="1088" ht="15.75" customHeight="1">
      <c r="A1088" s="344"/>
      <c r="B1088" s="345"/>
      <c r="C1088" s="346"/>
      <c r="D1088" s="347"/>
      <c r="E1088" s="348"/>
      <c r="F1088" s="349"/>
      <c r="G1088" s="350"/>
      <c r="H1088" s="350"/>
      <c r="I1088" s="350"/>
      <c r="J1088" s="350"/>
    </row>
    <row r="1089" ht="15.75" customHeight="1">
      <c r="A1089" s="337"/>
      <c r="B1089" s="338"/>
      <c r="C1089" s="339"/>
      <c r="D1089" s="340"/>
      <c r="E1089" s="341"/>
      <c r="F1089" s="342"/>
      <c r="G1089" s="343"/>
      <c r="H1089" s="343"/>
      <c r="I1089" s="343"/>
      <c r="J1089" s="343"/>
    </row>
    <row r="1090" ht="15.75" customHeight="1">
      <c r="A1090" s="344"/>
      <c r="B1090" s="345"/>
      <c r="C1090" s="346"/>
      <c r="D1090" s="347"/>
      <c r="E1090" s="348"/>
      <c r="F1090" s="349"/>
      <c r="G1090" s="350"/>
      <c r="H1090" s="350"/>
      <c r="I1090" s="350"/>
      <c r="J1090" s="350"/>
    </row>
    <row r="1091" ht="15.75" customHeight="1">
      <c r="A1091" s="337"/>
      <c r="B1091" s="338"/>
      <c r="C1091" s="339"/>
      <c r="D1091" s="340"/>
      <c r="E1091" s="341"/>
      <c r="F1091" s="342"/>
      <c r="G1091" s="343"/>
      <c r="H1091" s="343"/>
      <c r="I1091" s="343"/>
      <c r="J1091" s="343"/>
    </row>
    <row r="1092" ht="15.75" customHeight="1">
      <c r="A1092" s="344"/>
      <c r="B1092" s="345"/>
      <c r="C1092" s="346"/>
      <c r="D1092" s="347"/>
      <c r="E1092" s="348"/>
      <c r="F1092" s="349"/>
      <c r="G1092" s="350"/>
      <c r="H1092" s="350"/>
      <c r="I1092" s="350"/>
      <c r="J1092" s="350"/>
    </row>
    <row r="1093" ht="15.75" customHeight="1">
      <c r="A1093" s="337"/>
      <c r="B1093" s="338"/>
      <c r="C1093" s="339"/>
      <c r="D1093" s="340"/>
      <c r="E1093" s="341"/>
      <c r="F1093" s="342"/>
      <c r="G1093" s="343"/>
      <c r="H1093" s="343"/>
      <c r="I1093" s="343"/>
      <c r="J1093" s="343"/>
    </row>
    <row r="1094" ht="15.75" customHeight="1">
      <c r="A1094" s="344"/>
      <c r="B1094" s="345"/>
      <c r="C1094" s="346"/>
      <c r="D1094" s="347"/>
      <c r="E1094" s="348"/>
      <c r="F1094" s="349"/>
      <c r="G1094" s="350"/>
      <c r="H1094" s="350"/>
      <c r="I1094" s="350"/>
      <c r="J1094" s="350"/>
    </row>
    <row r="1095" ht="15.75" customHeight="1">
      <c r="A1095" s="337"/>
      <c r="B1095" s="338"/>
      <c r="C1095" s="339"/>
      <c r="D1095" s="340"/>
      <c r="E1095" s="341"/>
      <c r="F1095" s="342"/>
      <c r="G1095" s="343"/>
      <c r="H1095" s="343"/>
      <c r="I1095" s="343"/>
      <c r="J1095" s="343"/>
    </row>
    <row r="1096" ht="15.75" customHeight="1">
      <c r="A1096" s="344"/>
      <c r="B1096" s="345"/>
      <c r="C1096" s="346"/>
      <c r="D1096" s="347"/>
      <c r="E1096" s="348"/>
      <c r="F1096" s="349"/>
      <c r="G1096" s="350"/>
      <c r="H1096" s="350"/>
      <c r="I1096" s="350"/>
      <c r="J1096" s="350"/>
    </row>
    <row r="1097" ht="15.75" customHeight="1">
      <c r="A1097" s="337"/>
      <c r="B1097" s="338"/>
      <c r="C1097" s="339"/>
      <c r="D1097" s="340"/>
      <c r="E1097" s="341"/>
      <c r="F1097" s="342"/>
      <c r="G1097" s="343"/>
      <c r="H1097" s="343"/>
      <c r="I1097" s="343"/>
      <c r="J1097" s="343"/>
    </row>
    <row r="1098" ht="15.75" customHeight="1">
      <c r="A1098" s="344"/>
      <c r="B1098" s="345"/>
      <c r="C1098" s="346"/>
      <c r="D1098" s="347"/>
      <c r="E1098" s="348"/>
      <c r="F1098" s="349"/>
      <c r="G1098" s="350"/>
      <c r="H1098" s="350"/>
      <c r="I1098" s="350"/>
      <c r="J1098" s="350"/>
    </row>
    <row r="1099" ht="15.75" customHeight="1">
      <c r="A1099" s="337"/>
      <c r="B1099" s="338"/>
      <c r="C1099" s="339"/>
      <c r="D1099" s="340"/>
      <c r="E1099" s="341"/>
      <c r="F1099" s="342"/>
      <c r="G1099" s="343"/>
      <c r="H1099" s="343"/>
      <c r="I1099" s="343"/>
      <c r="J1099" s="343"/>
    </row>
    <row r="1100" ht="15.75" customHeight="1">
      <c r="A1100" s="344"/>
      <c r="B1100" s="345"/>
      <c r="C1100" s="346"/>
      <c r="D1100" s="347"/>
      <c r="E1100" s="348"/>
      <c r="F1100" s="349"/>
      <c r="G1100" s="350"/>
      <c r="H1100" s="350"/>
      <c r="I1100" s="350"/>
      <c r="J1100" s="350"/>
    </row>
    <row r="1101" ht="15.75" customHeight="1">
      <c r="A1101" s="337"/>
      <c r="B1101" s="338"/>
      <c r="C1101" s="339"/>
      <c r="D1101" s="340"/>
      <c r="E1101" s="341"/>
      <c r="F1101" s="342"/>
      <c r="G1101" s="343"/>
      <c r="H1101" s="343"/>
      <c r="I1101" s="343"/>
      <c r="J1101" s="343"/>
    </row>
    <row r="1102" ht="15.75" customHeight="1">
      <c r="A1102" s="344"/>
      <c r="B1102" s="345"/>
      <c r="C1102" s="346"/>
      <c r="D1102" s="347"/>
      <c r="E1102" s="348"/>
      <c r="F1102" s="349"/>
      <c r="G1102" s="350"/>
      <c r="H1102" s="350"/>
      <c r="I1102" s="350"/>
      <c r="J1102" s="350"/>
    </row>
    <row r="1103" ht="15.75" customHeight="1">
      <c r="A1103" s="337"/>
      <c r="B1103" s="338"/>
      <c r="C1103" s="339"/>
      <c r="D1103" s="340"/>
      <c r="E1103" s="341"/>
      <c r="F1103" s="342"/>
      <c r="G1103" s="343"/>
      <c r="H1103" s="343"/>
      <c r="I1103" s="343"/>
      <c r="J1103" s="343"/>
    </row>
    <row r="1104" ht="15.75" customHeight="1">
      <c r="A1104" s="344"/>
      <c r="B1104" s="345"/>
      <c r="C1104" s="346"/>
      <c r="D1104" s="347"/>
      <c r="E1104" s="348"/>
      <c r="F1104" s="349"/>
      <c r="G1104" s="350"/>
      <c r="H1104" s="350"/>
      <c r="I1104" s="350"/>
      <c r="J1104" s="350"/>
    </row>
    <row r="1105" ht="15.75" customHeight="1">
      <c r="A1105" s="337"/>
      <c r="B1105" s="338"/>
      <c r="C1105" s="339"/>
      <c r="D1105" s="340"/>
      <c r="E1105" s="341"/>
      <c r="F1105" s="342"/>
      <c r="G1105" s="343"/>
      <c r="H1105" s="343"/>
      <c r="I1105" s="343"/>
      <c r="J1105" s="343"/>
    </row>
    <row r="1106" ht="15.75" customHeight="1">
      <c r="A1106" s="344"/>
      <c r="B1106" s="345"/>
      <c r="C1106" s="346"/>
      <c r="D1106" s="347"/>
      <c r="E1106" s="348"/>
      <c r="F1106" s="349"/>
      <c r="G1106" s="350"/>
      <c r="H1106" s="350"/>
      <c r="I1106" s="350"/>
      <c r="J1106" s="350"/>
    </row>
    <row r="1107" ht="15.75" customHeight="1">
      <c r="A1107" s="337"/>
      <c r="B1107" s="338"/>
      <c r="C1107" s="339"/>
      <c r="D1107" s="340"/>
      <c r="E1107" s="341"/>
      <c r="F1107" s="342"/>
      <c r="G1107" s="343"/>
      <c r="H1107" s="343"/>
      <c r="I1107" s="343"/>
      <c r="J1107" s="343"/>
    </row>
    <row r="1108" ht="15.75" customHeight="1">
      <c r="A1108" s="344"/>
      <c r="B1108" s="345"/>
      <c r="C1108" s="346"/>
      <c r="D1108" s="347"/>
      <c r="E1108" s="348"/>
      <c r="F1108" s="349"/>
      <c r="G1108" s="350"/>
      <c r="H1108" s="350"/>
      <c r="I1108" s="350"/>
      <c r="J1108" s="350"/>
    </row>
    <row r="1109" ht="15.75" customHeight="1">
      <c r="A1109" s="337"/>
      <c r="B1109" s="338"/>
      <c r="C1109" s="339"/>
      <c r="D1109" s="340"/>
      <c r="E1109" s="341"/>
      <c r="F1109" s="342"/>
      <c r="G1109" s="343"/>
      <c r="H1109" s="343"/>
      <c r="I1109" s="343"/>
      <c r="J1109" s="343"/>
    </row>
    <row r="1110" ht="15.75" customHeight="1">
      <c r="A1110" s="344"/>
      <c r="B1110" s="345"/>
      <c r="C1110" s="346"/>
      <c r="D1110" s="347"/>
      <c r="E1110" s="348"/>
      <c r="F1110" s="349"/>
      <c r="G1110" s="350"/>
      <c r="H1110" s="350"/>
      <c r="I1110" s="350"/>
      <c r="J1110" s="350"/>
    </row>
    <row r="1111" ht="15.75" customHeight="1">
      <c r="A1111" s="337"/>
      <c r="B1111" s="338"/>
      <c r="C1111" s="339"/>
      <c r="D1111" s="340"/>
      <c r="E1111" s="341"/>
      <c r="F1111" s="342"/>
      <c r="G1111" s="343"/>
      <c r="H1111" s="343"/>
      <c r="I1111" s="343"/>
      <c r="J1111" s="343"/>
    </row>
    <row r="1112" ht="15.75" customHeight="1">
      <c r="A1112" s="344"/>
      <c r="B1112" s="345"/>
      <c r="C1112" s="346"/>
      <c r="D1112" s="347"/>
      <c r="E1112" s="348"/>
      <c r="F1112" s="349"/>
      <c r="G1112" s="350"/>
      <c r="H1112" s="350"/>
      <c r="I1112" s="350"/>
      <c r="J1112" s="350"/>
    </row>
    <row r="1113" ht="15.75" customHeight="1">
      <c r="A1113" s="337"/>
      <c r="B1113" s="338"/>
      <c r="C1113" s="339"/>
      <c r="D1113" s="340"/>
      <c r="E1113" s="341"/>
      <c r="F1113" s="342"/>
      <c r="G1113" s="343"/>
      <c r="H1113" s="343"/>
      <c r="I1113" s="343"/>
      <c r="J1113" s="343"/>
    </row>
    <row r="1114" ht="15.75" customHeight="1">
      <c r="A1114" s="344"/>
      <c r="B1114" s="345"/>
      <c r="C1114" s="346"/>
      <c r="D1114" s="347"/>
      <c r="E1114" s="348"/>
      <c r="F1114" s="349"/>
      <c r="G1114" s="350"/>
      <c r="H1114" s="350"/>
      <c r="I1114" s="350"/>
      <c r="J1114" s="350"/>
    </row>
    <row r="1115" ht="15.75" customHeight="1">
      <c r="A1115" s="337"/>
      <c r="B1115" s="338"/>
      <c r="C1115" s="339"/>
      <c r="D1115" s="340"/>
      <c r="E1115" s="341"/>
      <c r="F1115" s="342"/>
      <c r="G1115" s="343"/>
      <c r="H1115" s="343"/>
      <c r="I1115" s="343"/>
      <c r="J1115" s="343"/>
    </row>
    <row r="1116" ht="15.75" customHeight="1">
      <c r="A1116" s="344"/>
      <c r="B1116" s="345"/>
      <c r="C1116" s="346"/>
      <c r="D1116" s="347"/>
      <c r="E1116" s="348"/>
      <c r="F1116" s="349"/>
      <c r="G1116" s="350"/>
      <c r="H1116" s="350"/>
      <c r="I1116" s="350"/>
      <c r="J1116" s="350"/>
    </row>
    <row r="1117" ht="15.75" customHeight="1">
      <c r="A1117" s="337"/>
      <c r="B1117" s="338"/>
      <c r="C1117" s="339"/>
      <c r="D1117" s="340"/>
      <c r="E1117" s="341"/>
      <c r="F1117" s="342"/>
      <c r="G1117" s="343"/>
      <c r="H1117" s="343"/>
      <c r="I1117" s="343"/>
      <c r="J1117" s="343"/>
    </row>
    <row r="1118" ht="15.75" customHeight="1">
      <c r="A1118" s="344"/>
      <c r="B1118" s="345"/>
      <c r="C1118" s="346"/>
      <c r="D1118" s="347"/>
      <c r="E1118" s="348"/>
      <c r="F1118" s="349"/>
      <c r="G1118" s="350"/>
      <c r="H1118" s="350"/>
      <c r="I1118" s="350"/>
      <c r="J1118" s="350"/>
    </row>
    <row r="1119" ht="15.75" customHeight="1">
      <c r="A1119" s="337"/>
      <c r="B1119" s="338"/>
      <c r="C1119" s="339"/>
      <c r="D1119" s="340"/>
      <c r="E1119" s="341"/>
      <c r="F1119" s="342"/>
      <c r="G1119" s="343"/>
      <c r="H1119" s="343"/>
      <c r="I1119" s="343"/>
      <c r="J1119" s="343"/>
    </row>
    <row r="1120" ht="15.75" customHeight="1">
      <c r="A1120" s="344"/>
      <c r="B1120" s="345"/>
      <c r="C1120" s="346"/>
      <c r="D1120" s="347"/>
      <c r="E1120" s="348"/>
      <c r="F1120" s="349"/>
      <c r="G1120" s="350"/>
      <c r="H1120" s="350"/>
      <c r="I1120" s="350"/>
      <c r="J1120" s="350"/>
    </row>
    <row r="1121" ht="6.0" customHeight="1">
      <c r="A1121" s="334"/>
      <c r="B1121" s="334"/>
      <c r="C1121" s="335"/>
      <c r="D1121" s="336"/>
      <c r="E1121" s="334"/>
      <c r="F1121" s="334"/>
      <c r="G1121" s="334"/>
      <c r="H1121" s="334"/>
      <c r="I1121" s="334"/>
      <c r="J1121" s="334"/>
    </row>
    <row r="1122" ht="24.0" customHeight="1">
      <c r="A1122" s="313" t="s">
        <v>522</v>
      </c>
      <c r="B1122" s="55"/>
      <c r="C1122" s="55"/>
      <c r="D1122" s="55"/>
      <c r="E1122" s="55"/>
      <c r="F1122" s="56"/>
      <c r="G1122" s="314"/>
      <c r="H1122" s="315">
        <f>SUM(D1123:D1226)</f>
        <v>0</v>
      </c>
      <c r="I1122" s="316"/>
      <c r="J1122" s="317" t="str">
        <f>IF(I1122&gt;0,H1122/I1122,"")</f>
        <v/>
      </c>
    </row>
    <row r="1123" ht="15.75" customHeight="1">
      <c r="A1123" s="353"/>
      <c r="B1123" s="354"/>
      <c r="C1123" s="355"/>
      <c r="D1123" s="356"/>
      <c r="E1123" s="357"/>
      <c r="F1123" s="358"/>
      <c r="G1123" s="359"/>
      <c r="H1123" s="359"/>
      <c r="I1123" s="359"/>
      <c r="J1123" s="359"/>
    </row>
    <row r="1124" ht="15.75" customHeight="1">
      <c r="A1124" s="360"/>
      <c r="B1124" s="361"/>
      <c r="C1124" s="362"/>
      <c r="D1124" s="363"/>
      <c r="E1124" s="364"/>
      <c r="F1124" s="365"/>
      <c r="G1124" s="366"/>
      <c r="H1124" s="366"/>
      <c r="I1124" s="366"/>
      <c r="J1124" s="366"/>
    </row>
    <row r="1125" ht="15.75" customHeight="1">
      <c r="A1125" s="353"/>
      <c r="B1125" s="354"/>
      <c r="C1125" s="355"/>
      <c r="D1125" s="356"/>
      <c r="E1125" s="357"/>
      <c r="F1125" s="358"/>
      <c r="G1125" s="359"/>
      <c r="H1125" s="359"/>
      <c r="I1125" s="359"/>
      <c r="J1125" s="359"/>
    </row>
    <row r="1126" ht="15.75" customHeight="1">
      <c r="A1126" s="360"/>
      <c r="B1126" s="361"/>
      <c r="C1126" s="362"/>
      <c r="D1126" s="363"/>
      <c r="E1126" s="364"/>
      <c r="F1126" s="365"/>
      <c r="G1126" s="366"/>
      <c r="H1126" s="366"/>
      <c r="I1126" s="366"/>
      <c r="J1126" s="366"/>
    </row>
    <row r="1127" ht="15.75" customHeight="1">
      <c r="A1127" s="353"/>
      <c r="B1127" s="354"/>
      <c r="C1127" s="355"/>
      <c r="D1127" s="356"/>
      <c r="E1127" s="357"/>
      <c r="F1127" s="358"/>
      <c r="G1127" s="359"/>
      <c r="H1127" s="359"/>
      <c r="I1127" s="359"/>
      <c r="J1127" s="359"/>
    </row>
    <row r="1128" ht="15.75" customHeight="1">
      <c r="A1128" s="360"/>
      <c r="B1128" s="361"/>
      <c r="C1128" s="362"/>
      <c r="D1128" s="363"/>
      <c r="E1128" s="364"/>
      <c r="F1128" s="365"/>
      <c r="G1128" s="366"/>
      <c r="H1128" s="366"/>
      <c r="I1128" s="366"/>
      <c r="J1128" s="366"/>
    </row>
    <row r="1129" ht="15.75" customHeight="1">
      <c r="A1129" s="353"/>
      <c r="B1129" s="354"/>
      <c r="C1129" s="355"/>
      <c r="D1129" s="356"/>
      <c r="E1129" s="357"/>
      <c r="F1129" s="358"/>
      <c r="G1129" s="359"/>
      <c r="H1129" s="359"/>
      <c r="I1129" s="359"/>
      <c r="J1129" s="359"/>
    </row>
    <row r="1130" ht="15.75" customHeight="1">
      <c r="A1130" s="360"/>
      <c r="B1130" s="361"/>
      <c r="C1130" s="362"/>
      <c r="D1130" s="363"/>
      <c r="E1130" s="364"/>
      <c r="F1130" s="365"/>
      <c r="G1130" s="366"/>
      <c r="H1130" s="366"/>
      <c r="I1130" s="366"/>
      <c r="J1130" s="366"/>
    </row>
    <row r="1131" ht="15.75" customHeight="1">
      <c r="A1131" s="353"/>
      <c r="B1131" s="354"/>
      <c r="C1131" s="355"/>
      <c r="D1131" s="356"/>
      <c r="E1131" s="357"/>
      <c r="F1131" s="358"/>
      <c r="G1131" s="359"/>
      <c r="H1131" s="359"/>
      <c r="I1131" s="359"/>
      <c r="J1131" s="359"/>
    </row>
    <row r="1132" ht="15.75" customHeight="1">
      <c r="A1132" s="360"/>
      <c r="B1132" s="361"/>
      <c r="C1132" s="362"/>
      <c r="D1132" s="363"/>
      <c r="E1132" s="364"/>
      <c r="F1132" s="365"/>
      <c r="G1132" s="366"/>
      <c r="H1132" s="366"/>
      <c r="I1132" s="366"/>
      <c r="J1132" s="366"/>
    </row>
    <row r="1133" ht="15.75" customHeight="1">
      <c r="A1133" s="353"/>
      <c r="B1133" s="354"/>
      <c r="C1133" s="355"/>
      <c r="D1133" s="356"/>
      <c r="E1133" s="357"/>
      <c r="F1133" s="358"/>
      <c r="G1133" s="359"/>
      <c r="H1133" s="359"/>
      <c r="I1133" s="359"/>
      <c r="J1133" s="359"/>
    </row>
    <row r="1134" ht="15.75" customHeight="1">
      <c r="A1134" s="360"/>
      <c r="B1134" s="361"/>
      <c r="C1134" s="362"/>
      <c r="D1134" s="363"/>
      <c r="E1134" s="364"/>
      <c r="F1134" s="365"/>
      <c r="G1134" s="366"/>
      <c r="H1134" s="366"/>
      <c r="I1134" s="366"/>
      <c r="J1134" s="366"/>
    </row>
    <row r="1135" ht="15.75" customHeight="1">
      <c r="A1135" s="353"/>
      <c r="B1135" s="354"/>
      <c r="C1135" s="355"/>
      <c r="D1135" s="356"/>
      <c r="E1135" s="357"/>
      <c r="F1135" s="358"/>
      <c r="G1135" s="359"/>
      <c r="H1135" s="359"/>
      <c r="I1135" s="359"/>
      <c r="J1135" s="359"/>
    </row>
    <row r="1136" ht="15.75" customHeight="1">
      <c r="A1136" s="360"/>
      <c r="B1136" s="361"/>
      <c r="C1136" s="362"/>
      <c r="D1136" s="363"/>
      <c r="E1136" s="364"/>
      <c r="F1136" s="365"/>
      <c r="G1136" s="366"/>
      <c r="H1136" s="366"/>
      <c r="I1136" s="366"/>
      <c r="J1136" s="366"/>
    </row>
    <row r="1137" ht="15.75" customHeight="1">
      <c r="A1137" s="353"/>
      <c r="B1137" s="354"/>
      <c r="C1137" s="355"/>
      <c r="D1137" s="356"/>
      <c r="E1137" s="357"/>
      <c r="F1137" s="358"/>
      <c r="G1137" s="359"/>
      <c r="H1137" s="359"/>
      <c r="I1137" s="359"/>
      <c r="J1137" s="359"/>
    </row>
    <row r="1138" ht="15.75" customHeight="1">
      <c r="A1138" s="360"/>
      <c r="B1138" s="361"/>
      <c r="C1138" s="362"/>
      <c r="D1138" s="363"/>
      <c r="E1138" s="364"/>
      <c r="F1138" s="365"/>
      <c r="G1138" s="366"/>
      <c r="H1138" s="366"/>
      <c r="I1138" s="366"/>
      <c r="J1138" s="366"/>
    </row>
    <row r="1139" ht="15.75" customHeight="1">
      <c r="A1139" s="353"/>
      <c r="B1139" s="354"/>
      <c r="C1139" s="355"/>
      <c r="D1139" s="356"/>
      <c r="E1139" s="357"/>
      <c r="F1139" s="358"/>
      <c r="G1139" s="359"/>
      <c r="H1139" s="359"/>
      <c r="I1139" s="359"/>
      <c r="J1139" s="359"/>
    </row>
    <row r="1140" ht="15.75" customHeight="1">
      <c r="A1140" s="360"/>
      <c r="B1140" s="361"/>
      <c r="C1140" s="362"/>
      <c r="D1140" s="363"/>
      <c r="E1140" s="364"/>
      <c r="F1140" s="365"/>
      <c r="G1140" s="366"/>
      <c r="H1140" s="366"/>
      <c r="I1140" s="366"/>
      <c r="J1140" s="366"/>
    </row>
    <row r="1141" ht="15.75" customHeight="1">
      <c r="A1141" s="353"/>
      <c r="B1141" s="354"/>
      <c r="C1141" s="355"/>
      <c r="D1141" s="356"/>
      <c r="E1141" s="357"/>
      <c r="F1141" s="358"/>
      <c r="G1141" s="359"/>
      <c r="H1141" s="359"/>
      <c r="I1141" s="359"/>
      <c r="J1141" s="359"/>
    </row>
    <row r="1142" ht="15.75" customHeight="1">
      <c r="A1142" s="360"/>
      <c r="B1142" s="361"/>
      <c r="C1142" s="362"/>
      <c r="D1142" s="363"/>
      <c r="E1142" s="364"/>
      <c r="F1142" s="365"/>
      <c r="G1142" s="366"/>
      <c r="H1142" s="366"/>
      <c r="I1142" s="366"/>
      <c r="J1142" s="366"/>
    </row>
    <row r="1143" ht="15.75" customHeight="1">
      <c r="A1143" s="353"/>
      <c r="B1143" s="354"/>
      <c r="C1143" s="355"/>
      <c r="D1143" s="356"/>
      <c r="E1143" s="357"/>
      <c r="F1143" s="358"/>
      <c r="G1143" s="359"/>
      <c r="H1143" s="359"/>
      <c r="I1143" s="359"/>
      <c r="J1143" s="359"/>
    </row>
    <row r="1144" ht="15.75" customHeight="1">
      <c r="A1144" s="360"/>
      <c r="B1144" s="361"/>
      <c r="C1144" s="362"/>
      <c r="D1144" s="363"/>
      <c r="E1144" s="364"/>
      <c r="F1144" s="365"/>
      <c r="G1144" s="366"/>
      <c r="H1144" s="366"/>
      <c r="I1144" s="366"/>
      <c r="J1144" s="366"/>
    </row>
    <row r="1145" ht="15.75" customHeight="1">
      <c r="A1145" s="353"/>
      <c r="B1145" s="354"/>
      <c r="C1145" s="355"/>
      <c r="D1145" s="356"/>
      <c r="E1145" s="357"/>
      <c r="F1145" s="358"/>
      <c r="G1145" s="359"/>
      <c r="H1145" s="359"/>
      <c r="I1145" s="359"/>
      <c r="J1145" s="359"/>
    </row>
    <row r="1146" ht="15.75" customHeight="1">
      <c r="A1146" s="360"/>
      <c r="B1146" s="361"/>
      <c r="C1146" s="362"/>
      <c r="D1146" s="363"/>
      <c r="E1146" s="364"/>
      <c r="F1146" s="365"/>
      <c r="G1146" s="366"/>
      <c r="H1146" s="366"/>
      <c r="I1146" s="366"/>
      <c r="J1146" s="366"/>
    </row>
    <row r="1147" ht="15.75" customHeight="1">
      <c r="A1147" s="353"/>
      <c r="B1147" s="354"/>
      <c r="C1147" s="355"/>
      <c r="D1147" s="356"/>
      <c r="E1147" s="357"/>
      <c r="F1147" s="358"/>
      <c r="G1147" s="359"/>
      <c r="H1147" s="359"/>
      <c r="I1147" s="359"/>
      <c r="J1147" s="359"/>
    </row>
    <row r="1148" ht="15.75" customHeight="1">
      <c r="A1148" s="360"/>
      <c r="B1148" s="361"/>
      <c r="C1148" s="362"/>
      <c r="D1148" s="363"/>
      <c r="E1148" s="364"/>
      <c r="F1148" s="365"/>
      <c r="G1148" s="366"/>
      <c r="H1148" s="366"/>
      <c r="I1148" s="366"/>
      <c r="J1148" s="366"/>
    </row>
    <row r="1149" ht="15.75" customHeight="1">
      <c r="A1149" s="353"/>
      <c r="B1149" s="354"/>
      <c r="C1149" s="355"/>
      <c r="D1149" s="356"/>
      <c r="E1149" s="357"/>
      <c r="F1149" s="358"/>
      <c r="G1149" s="359"/>
      <c r="H1149" s="359"/>
      <c r="I1149" s="359"/>
      <c r="J1149" s="359"/>
    </row>
    <row r="1150" ht="15.75" customHeight="1">
      <c r="A1150" s="360"/>
      <c r="B1150" s="361"/>
      <c r="C1150" s="362"/>
      <c r="D1150" s="363"/>
      <c r="E1150" s="364"/>
      <c r="F1150" s="365"/>
      <c r="G1150" s="366"/>
      <c r="H1150" s="366"/>
      <c r="I1150" s="366"/>
      <c r="J1150" s="366"/>
    </row>
    <row r="1151" ht="15.75" customHeight="1">
      <c r="A1151" s="353"/>
      <c r="B1151" s="354"/>
      <c r="C1151" s="355"/>
      <c r="D1151" s="356"/>
      <c r="E1151" s="357"/>
      <c r="F1151" s="358"/>
      <c r="G1151" s="359"/>
      <c r="H1151" s="359"/>
      <c r="I1151" s="359"/>
      <c r="J1151" s="359"/>
    </row>
    <row r="1152" ht="15.75" customHeight="1">
      <c r="A1152" s="360"/>
      <c r="B1152" s="361"/>
      <c r="C1152" s="362"/>
      <c r="D1152" s="363"/>
      <c r="E1152" s="364"/>
      <c r="F1152" s="365"/>
      <c r="G1152" s="366"/>
      <c r="H1152" s="366"/>
      <c r="I1152" s="366"/>
      <c r="J1152" s="366"/>
    </row>
    <row r="1153" ht="15.75" customHeight="1">
      <c r="A1153" s="353"/>
      <c r="B1153" s="354"/>
      <c r="C1153" s="355"/>
      <c r="D1153" s="356"/>
      <c r="E1153" s="357"/>
      <c r="F1153" s="358"/>
      <c r="G1153" s="359"/>
      <c r="H1153" s="359"/>
      <c r="I1153" s="359"/>
      <c r="J1153" s="359"/>
    </row>
    <row r="1154" ht="15.75" customHeight="1">
      <c r="A1154" s="360"/>
      <c r="B1154" s="361"/>
      <c r="C1154" s="362"/>
      <c r="D1154" s="363"/>
      <c r="E1154" s="364"/>
      <c r="F1154" s="365"/>
      <c r="G1154" s="366"/>
      <c r="H1154" s="366"/>
      <c r="I1154" s="366"/>
      <c r="J1154" s="366"/>
    </row>
    <row r="1155" ht="15.75" customHeight="1">
      <c r="A1155" s="353"/>
      <c r="B1155" s="354"/>
      <c r="C1155" s="355"/>
      <c r="D1155" s="356"/>
      <c r="E1155" s="357"/>
      <c r="F1155" s="358"/>
      <c r="G1155" s="359"/>
      <c r="H1155" s="359"/>
      <c r="I1155" s="359"/>
      <c r="J1155" s="359"/>
    </row>
    <row r="1156" ht="15.75" customHeight="1">
      <c r="A1156" s="360"/>
      <c r="B1156" s="361"/>
      <c r="C1156" s="362"/>
      <c r="D1156" s="363"/>
      <c r="E1156" s="364"/>
      <c r="F1156" s="365"/>
      <c r="G1156" s="366"/>
      <c r="H1156" s="366"/>
      <c r="I1156" s="366"/>
      <c r="J1156" s="366"/>
    </row>
    <row r="1157" ht="15.75" customHeight="1">
      <c r="A1157" s="353"/>
      <c r="B1157" s="354"/>
      <c r="C1157" s="355"/>
      <c r="D1157" s="356"/>
      <c r="E1157" s="357"/>
      <c r="F1157" s="358"/>
      <c r="G1157" s="359"/>
      <c r="H1157" s="359"/>
      <c r="I1157" s="359"/>
      <c r="J1157" s="359"/>
    </row>
    <row r="1158" ht="15.75" customHeight="1">
      <c r="A1158" s="360"/>
      <c r="B1158" s="361"/>
      <c r="C1158" s="362"/>
      <c r="D1158" s="363"/>
      <c r="E1158" s="364"/>
      <c r="F1158" s="365"/>
      <c r="G1158" s="366"/>
      <c r="H1158" s="366"/>
      <c r="I1158" s="366"/>
      <c r="J1158" s="366"/>
    </row>
    <row r="1159" ht="15.75" customHeight="1">
      <c r="A1159" s="353"/>
      <c r="B1159" s="354"/>
      <c r="C1159" s="355"/>
      <c r="D1159" s="356"/>
      <c r="E1159" s="357"/>
      <c r="F1159" s="358"/>
      <c r="G1159" s="359"/>
      <c r="H1159" s="359"/>
      <c r="I1159" s="359"/>
      <c r="J1159" s="359"/>
    </row>
    <row r="1160" ht="15.75" customHeight="1">
      <c r="A1160" s="360"/>
      <c r="B1160" s="361"/>
      <c r="C1160" s="362"/>
      <c r="D1160" s="363"/>
      <c r="E1160" s="364"/>
      <c r="F1160" s="365"/>
      <c r="G1160" s="366"/>
      <c r="H1160" s="366"/>
      <c r="I1160" s="366"/>
      <c r="J1160" s="366"/>
    </row>
    <row r="1161" ht="15.75" customHeight="1">
      <c r="A1161" s="353"/>
      <c r="B1161" s="354"/>
      <c r="C1161" s="355"/>
      <c r="D1161" s="356"/>
      <c r="E1161" s="357"/>
      <c r="F1161" s="358"/>
      <c r="G1161" s="359"/>
      <c r="H1161" s="359"/>
      <c r="I1161" s="359"/>
      <c r="J1161" s="359"/>
    </row>
    <row r="1162" ht="15.75" customHeight="1">
      <c r="A1162" s="360"/>
      <c r="B1162" s="361"/>
      <c r="C1162" s="362"/>
      <c r="D1162" s="363"/>
      <c r="E1162" s="364"/>
      <c r="F1162" s="365"/>
      <c r="G1162" s="366"/>
      <c r="H1162" s="366"/>
      <c r="I1162" s="366"/>
      <c r="J1162" s="366"/>
    </row>
    <row r="1163" ht="15.75" customHeight="1">
      <c r="A1163" s="353"/>
      <c r="B1163" s="354"/>
      <c r="C1163" s="355"/>
      <c r="D1163" s="356"/>
      <c r="E1163" s="357"/>
      <c r="F1163" s="358"/>
      <c r="G1163" s="359"/>
      <c r="H1163" s="359"/>
      <c r="I1163" s="359"/>
      <c r="J1163" s="359"/>
    </row>
    <row r="1164" ht="15.75" customHeight="1">
      <c r="A1164" s="360"/>
      <c r="B1164" s="361"/>
      <c r="C1164" s="362"/>
      <c r="D1164" s="363"/>
      <c r="E1164" s="364"/>
      <c r="F1164" s="365"/>
      <c r="G1164" s="366"/>
      <c r="H1164" s="366"/>
      <c r="I1164" s="366"/>
      <c r="J1164" s="366"/>
    </row>
    <row r="1165" ht="15.75" customHeight="1">
      <c r="A1165" s="353"/>
      <c r="B1165" s="354"/>
      <c r="C1165" s="355"/>
      <c r="D1165" s="356"/>
      <c r="E1165" s="357"/>
      <c r="F1165" s="358"/>
      <c r="G1165" s="359"/>
      <c r="H1165" s="359"/>
      <c r="I1165" s="359"/>
      <c r="J1165" s="359"/>
    </row>
    <row r="1166" ht="15.75" customHeight="1">
      <c r="A1166" s="360"/>
      <c r="B1166" s="361"/>
      <c r="C1166" s="362"/>
      <c r="D1166" s="363"/>
      <c r="E1166" s="364"/>
      <c r="F1166" s="365"/>
      <c r="G1166" s="366"/>
      <c r="H1166" s="366"/>
      <c r="I1166" s="366"/>
      <c r="J1166" s="366"/>
    </row>
    <row r="1167" ht="15.75" customHeight="1">
      <c r="A1167" s="353"/>
      <c r="B1167" s="354"/>
      <c r="C1167" s="355"/>
      <c r="D1167" s="356"/>
      <c r="E1167" s="357"/>
      <c r="F1167" s="358"/>
      <c r="G1167" s="359"/>
      <c r="H1167" s="359"/>
      <c r="I1167" s="359"/>
      <c r="J1167" s="359"/>
    </row>
    <row r="1168" ht="15.75" customHeight="1">
      <c r="A1168" s="360"/>
      <c r="B1168" s="361"/>
      <c r="C1168" s="362"/>
      <c r="D1168" s="363"/>
      <c r="E1168" s="364"/>
      <c r="F1168" s="365"/>
      <c r="G1168" s="366"/>
      <c r="H1168" s="366"/>
      <c r="I1168" s="366"/>
      <c r="J1168" s="366"/>
    </row>
    <row r="1169" ht="15.75" customHeight="1">
      <c r="A1169" s="353"/>
      <c r="B1169" s="354"/>
      <c r="C1169" s="355"/>
      <c r="D1169" s="356"/>
      <c r="E1169" s="357"/>
      <c r="F1169" s="358"/>
      <c r="G1169" s="359"/>
      <c r="H1169" s="359"/>
      <c r="I1169" s="359"/>
      <c r="J1169" s="359"/>
    </row>
    <row r="1170" ht="15.75" customHeight="1">
      <c r="A1170" s="360"/>
      <c r="B1170" s="361"/>
      <c r="C1170" s="362"/>
      <c r="D1170" s="363"/>
      <c r="E1170" s="364"/>
      <c r="F1170" s="365"/>
      <c r="G1170" s="366"/>
      <c r="H1170" s="366"/>
      <c r="I1170" s="366"/>
      <c r="J1170" s="366"/>
    </row>
    <row r="1171" ht="15.75" customHeight="1">
      <c r="A1171" s="353"/>
      <c r="B1171" s="354"/>
      <c r="C1171" s="355"/>
      <c r="D1171" s="356"/>
      <c r="E1171" s="357"/>
      <c r="F1171" s="358"/>
      <c r="G1171" s="359"/>
      <c r="H1171" s="359"/>
      <c r="I1171" s="359"/>
      <c r="J1171" s="359"/>
    </row>
    <row r="1172" ht="15.75" customHeight="1">
      <c r="A1172" s="360"/>
      <c r="B1172" s="361"/>
      <c r="C1172" s="362"/>
      <c r="D1172" s="363"/>
      <c r="E1172" s="364"/>
      <c r="F1172" s="365"/>
      <c r="G1172" s="366"/>
      <c r="H1172" s="366"/>
      <c r="I1172" s="366"/>
      <c r="J1172" s="366"/>
    </row>
    <row r="1173" ht="15.75" customHeight="1">
      <c r="A1173" s="353"/>
      <c r="B1173" s="354"/>
      <c r="C1173" s="355"/>
      <c r="D1173" s="356"/>
      <c r="E1173" s="357"/>
      <c r="F1173" s="358"/>
      <c r="G1173" s="359"/>
      <c r="H1173" s="359"/>
      <c r="I1173" s="359"/>
      <c r="J1173" s="359"/>
    </row>
    <row r="1174" ht="15.75" customHeight="1">
      <c r="A1174" s="360"/>
      <c r="B1174" s="361"/>
      <c r="C1174" s="362"/>
      <c r="D1174" s="363"/>
      <c r="E1174" s="364"/>
      <c r="F1174" s="365"/>
      <c r="G1174" s="366"/>
      <c r="H1174" s="366"/>
      <c r="I1174" s="366"/>
      <c r="J1174" s="366"/>
    </row>
    <row r="1175" ht="15.75" customHeight="1">
      <c r="A1175" s="353"/>
      <c r="B1175" s="354"/>
      <c r="C1175" s="355"/>
      <c r="D1175" s="356"/>
      <c r="E1175" s="357"/>
      <c r="F1175" s="358"/>
      <c r="G1175" s="359"/>
      <c r="H1175" s="359"/>
      <c r="I1175" s="359"/>
      <c r="J1175" s="359"/>
    </row>
    <row r="1176" ht="15.75" customHeight="1">
      <c r="A1176" s="360"/>
      <c r="B1176" s="361"/>
      <c r="C1176" s="362"/>
      <c r="D1176" s="363"/>
      <c r="E1176" s="364"/>
      <c r="F1176" s="365"/>
      <c r="G1176" s="366"/>
      <c r="H1176" s="366"/>
      <c r="I1176" s="366"/>
      <c r="J1176" s="366"/>
    </row>
    <row r="1177" ht="15.75" customHeight="1">
      <c r="A1177" s="353"/>
      <c r="B1177" s="354"/>
      <c r="C1177" s="355"/>
      <c r="D1177" s="356"/>
      <c r="E1177" s="357"/>
      <c r="F1177" s="358"/>
      <c r="G1177" s="359"/>
      <c r="H1177" s="359"/>
      <c r="I1177" s="359"/>
      <c r="J1177" s="359"/>
    </row>
    <row r="1178" ht="15.75" customHeight="1">
      <c r="A1178" s="360"/>
      <c r="B1178" s="361"/>
      <c r="C1178" s="362"/>
      <c r="D1178" s="363"/>
      <c r="E1178" s="364"/>
      <c r="F1178" s="365"/>
      <c r="G1178" s="366"/>
      <c r="H1178" s="366"/>
      <c r="I1178" s="366"/>
      <c r="J1178" s="366"/>
    </row>
    <row r="1179" ht="15.75" customHeight="1">
      <c r="A1179" s="353"/>
      <c r="B1179" s="354"/>
      <c r="C1179" s="355"/>
      <c r="D1179" s="356"/>
      <c r="E1179" s="357"/>
      <c r="F1179" s="358"/>
      <c r="G1179" s="359"/>
      <c r="H1179" s="359"/>
      <c r="I1179" s="359"/>
      <c r="J1179" s="359"/>
    </row>
    <row r="1180" ht="15.75" customHeight="1">
      <c r="A1180" s="360"/>
      <c r="B1180" s="361"/>
      <c r="C1180" s="362"/>
      <c r="D1180" s="363"/>
      <c r="E1180" s="364"/>
      <c r="F1180" s="365"/>
      <c r="G1180" s="366"/>
      <c r="H1180" s="366"/>
      <c r="I1180" s="366"/>
      <c r="J1180" s="366"/>
    </row>
    <row r="1181" ht="15.75" customHeight="1">
      <c r="A1181" s="353"/>
      <c r="B1181" s="354"/>
      <c r="C1181" s="355"/>
      <c r="D1181" s="356"/>
      <c r="E1181" s="357"/>
      <c r="F1181" s="358"/>
      <c r="G1181" s="359"/>
      <c r="H1181" s="359"/>
      <c r="I1181" s="359"/>
      <c r="J1181" s="359"/>
    </row>
    <row r="1182" ht="15.75" customHeight="1">
      <c r="A1182" s="360"/>
      <c r="B1182" s="361"/>
      <c r="C1182" s="362"/>
      <c r="D1182" s="363"/>
      <c r="E1182" s="364"/>
      <c r="F1182" s="365"/>
      <c r="G1182" s="366"/>
      <c r="H1182" s="366"/>
      <c r="I1182" s="366"/>
      <c r="J1182" s="366"/>
    </row>
    <row r="1183" ht="15.75" customHeight="1">
      <c r="A1183" s="353"/>
      <c r="B1183" s="354"/>
      <c r="C1183" s="355"/>
      <c r="D1183" s="356"/>
      <c r="E1183" s="357"/>
      <c r="F1183" s="358"/>
      <c r="G1183" s="359"/>
      <c r="H1183" s="359"/>
      <c r="I1183" s="359"/>
      <c r="J1183" s="359"/>
    </row>
    <row r="1184" ht="15.75" customHeight="1">
      <c r="A1184" s="360"/>
      <c r="B1184" s="361"/>
      <c r="C1184" s="362"/>
      <c r="D1184" s="363"/>
      <c r="E1184" s="364"/>
      <c r="F1184" s="365"/>
      <c r="G1184" s="366"/>
      <c r="H1184" s="366"/>
      <c r="I1184" s="366"/>
      <c r="J1184" s="366"/>
    </row>
    <row r="1185" ht="15.75" customHeight="1">
      <c r="A1185" s="353"/>
      <c r="B1185" s="354"/>
      <c r="C1185" s="355"/>
      <c r="D1185" s="356"/>
      <c r="E1185" s="357"/>
      <c r="F1185" s="358"/>
      <c r="G1185" s="359"/>
      <c r="H1185" s="359"/>
      <c r="I1185" s="359"/>
      <c r="J1185" s="359"/>
    </row>
    <row r="1186" ht="15.75" customHeight="1">
      <c r="A1186" s="360"/>
      <c r="B1186" s="361"/>
      <c r="C1186" s="362"/>
      <c r="D1186" s="363"/>
      <c r="E1186" s="364"/>
      <c r="F1186" s="365"/>
      <c r="G1186" s="366"/>
      <c r="H1186" s="366"/>
      <c r="I1186" s="366"/>
      <c r="J1186" s="366"/>
    </row>
    <row r="1187" ht="15.75" customHeight="1">
      <c r="A1187" s="353"/>
      <c r="B1187" s="354"/>
      <c r="C1187" s="355"/>
      <c r="D1187" s="356"/>
      <c r="E1187" s="357"/>
      <c r="F1187" s="358"/>
      <c r="G1187" s="359"/>
      <c r="H1187" s="359"/>
      <c r="I1187" s="359"/>
      <c r="J1187" s="359"/>
    </row>
    <row r="1188" ht="15.75" customHeight="1">
      <c r="A1188" s="360"/>
      <c r="B1188" s="361"/>
      <c r="C1188" s="362"/>
      <c r="D1188" s="363"/>
      <c r="E1188" s="364"/>
      <c r="F1188" s="365"/>
      <c r="G1188" s="366"/>
      <c r="H1188" s="366"/>
      <c r="I1188" s="366"/>
      <c r="J1188" s="366"/>
    </row>
    <row r="1189" ht="15.75" customHeight="1">
      <c r="A1189" s="353"/>
      <c r="B1189" s="354"/>
      <c r="C1189" s="355"/>
      <c r="D1189" s="356"/>
      <c r="E1189" s="357"/>
      <c r="F1189" s="358"/>
      <c r="G1189" s="359"/>
      <c r="H1189" s="359"/>
      <c r="I1189" s="359"/>
      <c r="J1189" s="359"/>
    </row>
    <row r="1190" ht="15.75" customHeight="1">
      <c r="A1190" s="360"/>
      <c r="B1190" s="361"/>
      <c r="C1190" s="362"/>
      <c r="D1190" s="363"/>
      <c r="E1190" s="364"/>
      <c r="F1190" s="365"/>
      <c r="G1190" s="366"/>
      <c r="H1190" s="366"/>
      <c r="I1190" s="366"/>
      <c r="J1190" s="366"/>
    </row>
    <row r="1191" ht="15.75" customHeight="1">
      <c r="A1191" s="353"/>
      <c r="B1191" s="354"/>
      <c r="C1191" s="355"/>
      <c r="D1191" s="356"/>
      <c r="E1191" s="357"/>
      <c r="F1191" s="358"/>
      <c r="G1191" s="359"/>
      <c r="H1191" s="359"/>
      <c r="I1191" s="359"/>
      <c r="J1191" s="359"/>
    </row>
    <row r="1192" ht="15.75" customHeight="1">
      <c r="A1192" s="360"/>
      <c r="B1192" s="361"/>
      <c r="C1192" s="362"/>
      <c r="D1192" s="363"/>
      <c r="E1192" s="364"/>
      <c r="F1192" s="365"/>
      <c r="G1192" s="366"/>
      <c r="H1192" s="412"/>
      <c r="I1192" s="412"/>
      <c r="J1192" s="413"/>
    </row>
    <row r="1193" ht="15.75" customHeight="1">
      <c r="A1193" s="353"/>
      <c r="B1193" s="354"/>
      <c r="C1193" s="355"/>
      <c r="D1193" s="356"/>
      <c r="E1193" s="357"/>
      <c r="F1193" s="358"/>
      <c r="G1193" s="359"/>
      <c r="H1193" s="359"/>
      <c r="I1193" s="359"/>
      <c r="J1193" s="359"/>
    </row>
    <row r="1194" ht="15.75" customHeight="1">
      <c r="A1194" s="360"/>
      <c r="B1194" s="361"/>
      <c r="C1194" s="362"/>
      <c r="D1194" s="363"/>
      <c r="E1194" s="364"/>
      <c r="F1194" s="365"/>
      <c r="G1194" s="366"/>
      <c r="H1194" s="366"/>
      <c r="I1194" s="366"/>
      <c r="J1194" s="366"/>
    </row>
    <row r="1195" ht="15.75" customHeight="1">
      <c r="A1195" s="353"/>
      <c r="B1195" s="354"/>
      <c r="C1195" s="355"/>
      <c r="D1195" s="356"/>
      <c r="E1195" s="357"/>
      <c r="F1195" s="358"/>
      <c r="G1195" s="359"/>
      <c r="H1195" s="359"/>
      <c r="I1195" s="359"/>
      <c r="J1195" s="359"/>
    </row>
    <row r="1196" ht="15.75" customHeight="1">
      <c r="A1196" s="360"/>
      <c r="B1196" s="361"/>
      <c r="C1196" s="362"/>
      <c r="D1196" s="363"/>
      <c r="E1196" s="364"/>
      <c r="F1196" s="365"/>
      <c r="G1196" s="366"/>
      <c r="H1196" s="366"/>
      <c r="I1196" s="366"/>
      <c r="J1196" s="366"/>
    </row>
    <row r="1197" ht="15.75" customHeight="1">
      <c r="A1197" s="353"/>
      <c r="B1197" s="354"/>
      <c r="C1197" s="355"/>
      <c r="D1197" s="356"/>
      <c r="E1197" s="357"/>
      <c r="F1197" s="358"/>
      <c r="G1197" s="359"/>
      <c r="H1197" s="359"/>
      <c r="I1197" s="359"/>
      <c r="J1197" s="359"/>
    </row>
    <row r="1198" ht="15.75" customHeight="1">
      <c r="A1198" s="360"/>
      <c r="B1198" s="361"/>
      <c r="C1198" s="362"/>
      <c r="D1198" s="363"/>
      <c r="E1198" s="364"/>
      <c r="F1198" s="365"/>
      <c r="G1198" s="366"/>
      <c r="H1198" s="366"/>
      <c r="I1198" s="366"/>
      <c r="J1198" s="366"/>
    </row>
    <row r="1199" ht="15.75" customHeight="1">
      <c r="A1199" s="353"/>
      <c r="B1199" s="354"/>
      <c r="C1199" s="355"/>
      <c r="D1199" s="356"/>
      <c r="E1199" s="357"/>
      <c r="F1199" s="358"/>
      <c r="G1199" s="359"/>
      <c r="H1199" s="359"/>
      <c r="I1199" s="359"/>
      <c r="J1199" s="359"/>
    </row>
    <row r="1200" ht="15.75" customHeight="1">
      <c r="A1200" s="360"/>
      <c r="B1200" s="361"/>
      <c r="C1200" s="362"/>
      <c r="D1200" s="363"/>
      <c r="E1200" s="364"/>
      <c r="F1200" s="365"/>
      <c r="G1200" s="366"/>
      <c r="H1200" s="366"/>
      <c r="I1200" s="366"/>
      <c r="J1200" s="366"/>
    </row>
    <row r="1201" ht="15.75" customHeight="1">
      <c r="A1201" s="353"/>
      <c r="B1201" s="354"/>
      <c r="C1201" s="355"/>
      <c r="D1201" s="356"/>
      <c r="E1201" s="357"/>
      <c r="F1201" s="358"/>
      <c r="G1201" s="359"/>
      <c r="H1201" s="359"/>
      <c r="I1201" s="359"/>
      <c r="J1201" s="359"/>
    </row>
    <row r="1202" ht="15.75" customHeight="1">
      <c r="A1202" s="360"/>
      <c r="B1202" s="361"/>
      <c r="C1202" s="362"/>
      <c r="D1202" s="363"/>
      <c r="E1202" s="364"/>
      <c r="F1202" s="365"/>
      <c r="G1202" s="366"/>
      <c r="H1202" s="366"/>
      <c r="I1202" s="366"/>
      <c r="J1202" s="366"/>
    </row>
    <row r="1203" ht="15.75" customHeight="1">
      <c r="A1203" s="353"/>
      <c r="B1203" s="354"/>
      <c r="C1203" s="355"/>
      <c r="D1203" s="356"/>
      <c r="E1203" s="357"/>
      <c r="F1203" s="358"/>
      <c r="G1203" s="359"/>
      <c r="H1203" s="359"/>
      <c r="I1203" s="359"/>
      <c r="J1203" s="359"/>
    </row>
    <row r="1204" ht="15.75" customHeight="1">
      <c r="A1204" s="360"/>
      <c r="B1204" s="361"/>
      <c r="C1204" s="362"/>
      <c r="D1204" s="363"/>
      <c r="E1204" s="364"/>
      <c r="F1204" s="365"/>
      <c r="G1204" s="366"/>
      <c r="H1204" s="366"/>
      <c r="I1204" s="366"/>
      <c r="J1204" s="366"/>
    </row>
    <row r="1205" ht="15.75" customHeight="1">
      <c r="A1205" s="353"/>
      <c r="B1205" s="354"/>
      <c r="C1205" s="355"/>
      <c r="D1205" s="356"/>
      <c r="E1205" s="357"/>
      <c r="F1205" s="358"/>
      <c r="G1205" s="359"/>
      <c r="H1205" s="359"/>
      <c r="I1205" s="359"/>
      <c r="J1205" s="359"/>
    </row>
    <row r="1206" ht="15.75" customHeight="1">
      <c r="A1206" s="360"/>
      <c r="B1206" s="361"/>
      <c r="C1206" s="362"/>
      <c r="D1206" s="363"/>
      <c r="E1206" s="364"/>
      <c r="F1206" s="365"/>
      <c r="G1206" s="366"/>
      <c r="H1206" s="366"/>
      <c r="I1206" s="366"/>
      <c r="J1206" s="366"/>
    </row>
    <row r="1207" ht="15.75" customHeight="1">
      <c r="A1207" s="353"/>
      <c r="B1207" s="354"/>
      <c r="C1207" s="355"/>
      <c r="D1207" s="356"/>
      <c r="E1207" s="357"/>
      <c r="F1207" s="358"/>
      <c r="G1207" s="359"/>
      <c r="H1207" s="359"/>
      <c r="I1207" s="359"/>
      <c r="J1207" s="359"/>
    </row>
    <row r="1208" ht="15.75" customHeight="1">
      <c r="A1208" s="360"/>
      <c r="B1208" s="361"/>
      <c r="C1208" s="362"/>
      <c r="D1208" s="363"/>
      <c r="E1208" s="364"/>
      <c r="F1208" s="365"/>
      <c r="G1208" s="366"/>
      <c r="H1208" s="366"/>
      <c r="I1208" s="366"/>
      <c r="J1208" s="366"/>
    </row>
    <row r="1209" ht="15.75" customHeight="1">
      <c r="A1209" s="353"/>
      <c r="B1209" s="354"/>
      <c r="C1209" s="355"/>
      <c r="D1209" s="356"/>
      <c r="E1209" s="357"/>
      <c r="F1209" s="358"/>
      <c r="G1209" s="359"/>
      <c r="H1209" s="359"/>
      <c r="I1209" s="359"/>
      <c r="J1209" s="359"/>
    </row>
    <row r="1210" ht="15.75" customHeight="1">
      <c r="A1210" s="360"/>
      <c r="B1210" s="361"/>
      <c r="C1210" s="362"/>
      <c r="D1210" s="363"/>
      <c r="E1210" s="364"/>
      <c r="F1210" s="365"/>
      <c r="G1210" s="366"/>
      <c r="H1210" s="366"/>
      <c r="I1210" s="366"/>
      <c r="J1210" s="366"/>
    </row>
    <row r="1211" ht="15.75" customHeight="1">
      <c r="A1211" s="353"/>
      <c r="B1211" s="354"/>
      <c r="C1211" s="355"/>
      <c r="D1211" s="356"/>
      <c r="E1211" s="357"/>
      <c r="F1211" s="358"/>
      <c r="G1211" s="359"/>
      <c r="H1211" s="359"/>
      <c r="I1211" s="359"/>
      <c r="J1211" s="359"/>
    </row>
    <row r="1212" ht="15.75" customHeight="1">
      <c r="A1212" s="360"/>
      <c r="B1212" s="361"/>
      <c r="C1212" s="362"/>
      <c r="D1212" s="363"/>
      <c r="E1212" s="364"/>
      <c r="F1212" s="365"/>
      <c r="G1212" s="366"/>
      <c r="H1212" s="366"/>
      <c r="I1212" s="366"/>
      <c r="J1212" s="366"/>
    </row>
    <row r="1213" ht="15.75" customHeight="1">
      <c r="A1213" s="353"/>
      <c r="B1213" s="354"/>
      <c r="C1213" s="355"/>
      <c r="D1213" s="356"/>
      <c r="E1213" s="357"/>
      <c r="F1213" s="358"/>
      <c r="G1213" s="359"/>
      <c r="H1213" s="359"/>
      <c r="I1213" s="359"/>
      <c r="J1213" s="359"/>
    </row>
    <row r="1214" ht="15.75" customHeight="1">
      <c r="A1214" s="360"/>
      <c r="B1214" s="361"/>
      <c r="C1214" s="362"/>
      <c r="D1214" s="363"/>
      <c r="E1214" s="364"/>
      <c r="F1214" s="365"/>
      <c r="G1214" s="366"/>
      <c r="H1214" s="366"/>
      <c r="I1214" s="366"/>
      <c r="J1214" s="366"/>
    </row>
    <row r="1215" ht="15.75" customHeight="1">
      <c r="A1215" s="353"/>
      <c r="B1215" s="354"/>
      <c r="C1215" s="355"/>
      <c r="D1215" s="356"/>
      <c r="E1215" s="357"/>
      <c r="F1215" s="358"/>
      <c r="G1215" s="359"/>
      <c r="H1215" s="359"/>
      <c r="I1215" s="359"/>
      <c r="J1215" s="359"/>
    </row>
    <row r="1216" ht="15.75" customHeight="1">
      <c r="A1216" s="360"/>
      <c r="B1216" s="361"/>
      <c r="C1216" s="362"/>
      <c r="D1216" s="363"/>
      <c r="E1216" s="364"/>
      <c r="F1216" s="365"/>
      <c r="G1216" s="366"/>
      <c r="H1216" s="366"/>
      <c r="I1216" s="366"/>
      <c r="J1216" s="366"/>
    </row>
    <row r="1217" ht="15.75" customHeight="1">
      <c r="A1217" s="353"/>
      <c r="B1217" s="354"/>
      <c r="C1217" s="355"/>
      <c r="D1217" s="356"/>
      <c r="E1217" s="357"/>
      <c r="F1217" s="358"/>
      <c r="G1217" s="359"/>
      <c r="H1217" s="359"/>
      <c r="I1217" s="359"/>
      <c r="J1217" s="359"/>
    </row>
    <row r="1218" ht="15.75" customHeight="1">
      <c r="A1218" s="360"/>
      <c r="B1218" s="361"/>
      <c r="C1218" s="362"/>
      <c r="D1218" s="363"/>
      <c r="E1218" s="364"/>
      <c r="F1218" s="365"/>
      <c r="G1218" s="366"/>
      <c r="H1218" s="366"/>
      <c r="I1218" s="366"/>
      <c r="J1218" s="366"/>
    </row>
    <row r="1219" ht="15.75" customHeight="1">
      <c r="A1219" s="353"/>
      <c r="B1219" s="354"/>
      <c r="C1219" s="355"/>
      <c r="D1219" s="356"/>
      <c r="E1219" s="357"/>
      <c r="F1219" s="358"/>
      <c r="G1219" s="359"/>
      <c r="H1219" s="359"/>
      <c r="I1219" s="359"/>
      <c r="J1219" s="359"/>
    </row>
    <row r="1220" ht="15.75" customHeight="1">
      <c r="A1220" s="360"/>
      <c r="B1220" s="361"/>
      <c r="C1220" s="362"/>
      <c r="D1220" s="363"/>
      <c r="E1220" s="364"/>
      <c r="F1220" s="365"/>
      <c r="G1220" s="366"/>
      <c r="H1220" s="366"/>
      <c r="I1220" s="366"/>
      <c r="J1220" s="366"/>
    </row>
    <row r="1221" ht="15.75" customHeight="1">
      <c r="A1221" s="353"/>
      <c r="B1221" s="354"/>
      <c r="C1221" s="355"/>
      <c r="D1221" s="356"/>
      <c r="E1221" s="357"/>
      <c r="F1221" s="358"/>
      <c r="G1221" s="359"/>
      <c r="H1221" s="359"/>
      <c r="I1221" s="359"/>
      <c r="J1221" s="359"/>
    </row>
    <row r="1222" ht="15.75" customHeight="1">
      <c r="A1222" s="360"/>
      <c r="B1222" s="361"/>
      <c r="C1222" s="362"/>
      <c r="D1222" s="363"/>
      <c r="E1222" s="364"/>
      <c r="F1222" s="365"/>
      <c r="G1222" s="366"/>
      <c r="H1222" s="366"/>
      <c r="I1222" s="366"/>
      <c r="J1222" s="366"/>
    </row>
    <row r="1223" ht="15.75" customHeight="1">
      <c r="A1223" s="353"/>
      <c r="B1223" s="354"/>
      <c r="C1223" s="355"/>
      <c r="D1223" s="356"/>
      <c r="E1223" s="357"/>
      <c r="F1223" s="358"/>
      <c r="G1223" s="359"/>
      <c r="H1223" s="359"/>
      <c r="I1223" s="359"/>
      <c r="J1223" s="359"/>
    </row>
    <row r="1224" ht="15.75" customHeight="1">
      <c r="A1224" s="360"/>
      <c r="B1224" s="361"/>
      <c r="C1224" s="362"/>
      <c r="D1224" s="363"/>
      <c r="E1224" s="364"/>
      <c r="F1224" s="365"/>
      <c r="G1224" s="366"/>
      <c r="H1224" s="366"/>
      <c r="I1224" s="366"/>
      <c r="J1224" s="366"/>
    </row>
    <row r="1225" ht="15.75" customHeight="1">
      <c r="A1225" s="353"/>
      <c r="B1225" s="354"/>
      <c r="C1225" s="355"/>
      <c r="D1225" s="356"/>
      <c r="E1225" s="357"/>
      <c r="F1225" s="358"/>
      <c r="G1225" s="359"/>
      <c r="H1225" s="359"/>
      <c r="I1225" s="359"/>
      <c r="J1225" s="359"/>
    </row>
    <row r="1226" ht="15.75" customHeight="1">
      <c r="A1226" s="360"/>
      <c r="B1226" s="361"/>
      <c r="C1226" s="362"/>
      <c r="D1226" s="363"/>
      <c r="E1226" s="364"/>
      <c r="F1226" s="365"/>
      <c r="G1226" s="366"/>
      <c r="H1226" s="366"/>
      <c r="I1226" s="366"/>
      <c r="J1226" s="366"/>
    </row>
    <row r="1227" ht="6.0" customHeight="1">
      <c r="A1227" s="334"/>
      <c r="B1227" s="334"/>
      <c r="C1227" s="335"/>
      <c r="D1227" s="336"/>
      <c r="E1227" s="334"/>
      <c r="F1227" s="334"/>
      <c r="G1227" s="334"/>
      <c r="H1227" s="334"/>
      <c r="I1227" s="334"/>
      <c r="J1227" s="334"/>
    </row>
    <row r="1228" ht="24.0" customHeight="1">
      <c r="A1228" s="313" t="s">
        <v>523</v>
      </c>
      <c r="B1228" s="55"/>
      <c r="C1228" s="55"/>
      <c r="D1228" s="55"/>
      <c r="E1228" s="55"/>
      <c r="F1228" s="56"/>
      <c r="G1228" s="314"/>
      <c r="H1228" s="315">
        <f>SUM(D1229:D1265)</f>
        <v>0</v>
      </c>
      <c r="I1228" s="316"/>
      <c r="J1228" s="317" t="str">
        <f>IF(I1228&gt;0,H1228/I1228,"")</f>
        <v/>
      </c>
    </row>
    <row r="1229" ht="15.75" customHeight="1">
      <c r="A1229" s="369"/>
      <c r="B1229" s="370"/>
      <c r="C1229" s="371"/>
      <c r="D1229" s="372"/>
      <c r="E1229" s="373"/>
      <c r="F1229" s="374"/>
      <c r="G1229" s="375"/>
      <c r="H1229" s="375"/>
      <c r="I1229" s="375"/>
      <c r="J1229" s="375"/>
    </row>
    <row r="1230" ht="15.75" customHeight="1">
      <c r="A1230" s="376"/>
      <c r="B1230" s="377"/>
      <c r="C1230" s="378"/>
      <c r="D1230" s="379"/>
      <c r="E1230" s="380"/>
      <c r="F1230" s="381"/>
      <c r="G1230" s="382"/>
      <c r="H1230" s="382"/>
      <c r="I1230" s="382"/>
      <c r="J1230" s="382"/>
    </row>
    <row r="1231" ht="15.75" customHeight="1">
      <c r="A1231" s="369"/>
      <c r="B1231" s="370"/>
      <c r="C1231" s="371"/>
      <c r="D1231" s="372"/>
      <c r="E1231" s="373"/>
      <c r="F1231" s="374"/>
      <c r="G1231" s="375"/>
      <c r="H1231" s="414"/>
      <c r="I1231" s="414"/>
      <c r="J1231" s="415"/>
    </row>
    <row r="1232" ht="15.75" customHeight="1">
      <c r="A1232" s="376"/>
      <c r="B1232" s="377"/>
      <c r="C1232" s="378"/>
      <c r="D1232" s="379"/>
      <c r="E1232" s="380"/>
      <c r="F1232" s="381"/>
      <c r="G1232" s="382"/>
      <c r="H1232" s="383"/>
      <c r="I1232" s="383"/>
      <c r="J1232" s="384"/>
    </row>
    <row r="1233" ht="15.75" customHeight="1">
      <c r="A1233" s="369"/>
      <c r="B1233" s="370"/>
      <c r="C1233" s="371"/>
      <c r="D1233" s="372"/>
      <c r="E1233" s="373"/>
      <c r="F1233" s="374"/>
      <c r="G1233" s="375"/>
      <c r="H1233" s="375"/>
      <c r="I1233" s="375"/>
      <c r="J1233" s="375"/>
    </row>
    <row r="1234" ht="15.75" customHeight="1">
      <c r="A1234" s="376"/>
      <c r="B1234" s="377"/>
      <c r="C1234" s="378"/>
      <c r="D1234" s="379"/>
      <c r="E1234" s="380"/>
      <c r="F1234" s="381"/>
      <c r="G1234" s="382"/>
      <c r="H1234" s="382"/>
      <c r="I1234" s="382"/>
      <c r="J1234" s="382"/>
    </row>
    <row r="1235" ht="15.75" customHeight="1">
      <c r="A1235" s="369"/>
      <c r="B1235" s="370"/>
      <c r="C1235" s="371"/>
      <c r="D1235" s="372"/>
      <c r="E1235" s="373"/>
      <c r="F1235" s="374"/>
      <c r="G1235" s="375"/>
      <c r="H1235" s="375"/>
      <c r="I1235" s="375"/>
      <c r="J1235" s="375"/>
    </row>
    <row r="1236" ht="15.75" customHeight="1">
      <c r="A1236" s="376"/>
      <c r="B1236" s="416"/>
      <c r="C1236" s="378"/>
      <c r="D1236" s="379"/>
      <c r="E1236" s="380"/>
      <c r="F1236" s="381"/>
      <c r="G1236" s="382"/>
      <c r="H1236" s="382"/>
      <c r="I1236" s="382"/>
      <c r="J1236" s="382"/>
    </row>
    <row r="1237" ht="15.75" customHeight="1">
      <c r="A1237" s="369"/>
      <c r="B1237" s="417"/>
      <c r="C1237" s="371"/>
      <c r="D1237" s="372"/>
      <c r="E1237" s="373"/>
      <c r="F1237" s="374"/>
      <c r="G1237" s="375"/>
      <c r="H1237" s="375"/>
      <c r="I1237" s="375"/>
      <c r="J1237" s="375"/>
    </row>
    <row r="1238" ht="15.75" customHeight="1">
      <c r="A1238" s="376"/>
      <c r="B1238" s="416"/>
      <c r="C1238" s="378"/>
      <c r="D1238" s="379"/>
      <c r="E1238" s="380"/>
      <c r="F1238" s="381"/>
      <c r="G1238" s="382"/>
      <c r="H1238" s="382"/>
      <c r="I1238" s="382"/>
      <c r="J1238" s="382"/>
    </row>
    <row r="1239" ht="15.75" customHeight="1">
      <c r="A1239" s="369"/>
      <c r="B1239" s="417"/>
      <c r="C1239" s="371"/>
      <c r="D1239" s="372"/>
      <c r="E1239" s="373"/>
      <c r="F1239" s="374"/>
      <c r="G1239" s="375"/>
      <c r="H1239" s="375"/>
      <c r="I1239" s="375"/>
      <c r="J1239" s="375"/>
    </row>
    <row r="1240" ht="15.75" customHeight="1">
      <c r="A1240" s="376"/>
      <c r="B1240" s="416"/>
      <c r="C1240" s="378"/>
      <c r="D1240" s="379"/>
      <c r="E1240" s="380"/>
      <c r="F1240" s="381"/>
      <c r="G1240" s="382"/>
      <c r="H1240" s="382"/>
      <c r="I1240" s="382"/>
      <c r="J1240" s="382"/>
    </row>
    <row r="1241" ht="15.75" customHeight="1">
      <c r="A1241" s="369"/>
      <c r="B1241" s="417"/>
      <c r="C1241" s="371"/>
      <c r="D1241" s="372"/>
      <c r="E1241" s="373"/>
      <c r="F1241" s="374"/>
      <c r="G1241" s="375"/>
      <c r="H1241" s="375"/>
      <c r="I1241" s="375"/>
      <c r="J1241" s="375"/>
    </row>
    <row r="1242" ht="15.75" customHeight="1">
      <c r="A1242" s="376"/>
      <c r="B1242" s="416"/>
      <c r="C1242" s="378"/>
      <c r="D1242" s="379"/>
      <c r="E1242" s="380"/>
      <c r="F1242" s="381"/>
      <c r="G1242" s="382"/>
      <c r="H1242" s="382"/>
      <c r="I1242" s="382"/>
      <c r="J1242" s="382"/>
    </row>
    <row r="1243" ht="15.75" customHeight="1">
      <c r="A1243" s="369"/>
      <c r="B1243" s="417"/>
      <c r="C1243" s="371"/>
      <c r="D1243" s="372"/>
      <c r="E1243" s="373"/>
      <c r="F1243" s="374"/>
      <c r="G1243" s="375"/>
      <c r="H1243" s="375"/>
      <c r="I1243" s="375"/>
      <c r="J1243" s="375"/>
    </row>
    <row r="1244" ht="15.75" customHeight="1">
      <c r="A1244" s="376"/>
      <c r="B1244" s="416"/>
      <c r="C1244" s="378"/>
      <c r="D1244" s="379"/>
      <c r="E1244" s="380"/>
      <c r="F1244" s="381"/>
      <c r="G1244" s="382"/>
      <c r="H1244" s="382"/>
      <c r="I1244" s="382"/>
      <c r="J1244" s="382"/>
    </row>
    <row r="1245" ht="15.75" customHeight="1">
      <c r="A1245" s="369"/>
      <c r="B1245" s="417"/>
      <c r="C1245" s="371"/>
      <c r="D1245" s="372"/>
      <c r="E1245" s="373"/>
      <c r="F1245" s="374"/>
      <c r="G1245" s="375"/>
      <c r="H1245" s="375"/>
      <c r="I1245" s="375"/>
      <c r="J1245" s="375"/>
    </row>
    <row r="1246" ht="15.75" customHeight="1">
      <c r="A1246" s="376"/>
      <c r="B1246" s="416"/>
      <c r="C1246" s="378"/>
      <c r="D1246" s="379"/>
      <c r="E1246" s="380"/>
      <c r="F1246" s="381"/>
      <c r="G1246" s="382"/>
      <c r="H1246" s="382"/>
      <c r="I1246" s="382"/>
      <c r="J1246" s="382"/>
    </row>
    <row r="1247" ht="15.75" customHeight="1">
      <c r="A1247" s="369"/>
      <c r="B1247" s="370"/>
      <c r="C1247" s="371"/>
      <c r="D1247" s="372"/>
      <c r="E1247" s="373"/>
      <c r="F1247" s="374"/>
      <c r="G1247" s="375"/>
      <c r="H1247" s="375"/>
      <c r="I1247" s="375"/>
      <c r="J1247" s="375"/>
    </row>
    <row r="1248" ht="15.75" customHeight="1">
      <c r="A1248" s="376"/>
      <c r="B1248" s="377"/>
      <c r="C1248" s="378"/>
      <c r="D1248" s="379"/>
      <c r="E1248" s="380"/>
      <c r="F1248" s="381"/>
      <c r="G1248" s="382"/>
      <c r="H1248" s="382"/>
      <c r="I1248" s="382"/>
      <c r="J1248" s="382"/>
    </row>
    <row r="1249" ht="15.75" customHeight="1">
      <c r="A1249" s="369"/>
      <c r="B1249" s="370"/>
      <c r="C1249" s="371"/>
      <c r="D1249" s="372"/>
      <c r="E1249" s="373"/>
      <c r="F1249" s="374"/>
      <c r="G1249" s="375"/>
      <c r="H1249" s="375"/>
      <c r="I1249" s="375"/>
      <c r="J1249" s="375"/>
    </row>
    <row r="1250" ht="15.75" customHeight="1">
      <c r="A1250" s="376"/>
      <c r="B1250" s="377"/>
      <c r="C1250" s="378"/>
      <c r="D1250" s="379"/>
      <c r="E1250" s="380"/>
      <c r="F1250" s="381"/>
      <c r="G1250" s="382"/>
      <c r="H1250" s="382"/>
      <c r="I1250" s="382"/>
      <c r="J1250" s="382"/>
    </row>
    <row r="1251" ht="15.75" customHeight="1">
      <c r="A1251" s="369"/>
      <c r="B1251" s="370"/>
      <c r="C1251" s="371"/>
      <c r="D1251" s="372"/>
      <c r="E1251" s="373"/>
      <c r="F1251" s="374"/>
      <c r="G1251" s="375"/>
      <c r="H1251" s="375"/>
      <c r="I1251" s="375"/>
      <c r="J1251" s="375"/>
    </row>
    <row r="1252" ht="15.75" customHeight="1">
      <c r="A1252" s="376"/>
      <c r="B1252" s="377"/>
      <c r="C1252" s="378"/>
      <c r="D1252" s="379"/>
      <c r="E1252" s="380"/>
      <c r="F1252" s="381"/>
      <c r="G1252" s="382"/>
      <c r="H1252" s="382"/>
      <c r="I1252" s="382"/>
      <c r="J1252" s="382"/>
    </row>
    <row r="1253" ht="15.75" customHeight="1">
      <c r="A1253" s="369"/>
      <c r="B1253" s="370"/>
      <c r="C1253" s="371"/>
      <c r="D1253" s="372"/>
      <c r="E1253" s="373"/>
      <c r="F1253" s="374"/>
      <c r="G1253" s="375"/>
      <c r="H1253" s="375"/>
      <c r="I1253" s="375"/>
      <c r="J1253" s="375"/>
    </row>
    <row r="1254" ht="15.75" customHeight="1">
      <c r="A1254" s="376"/>
      <c r="B1254" s="377"/>
      <c r="C1254" s="378"/>
      <c r="D1254" s="379"/>
      <c r="E1254" s="380"/>
      <c r="F1254" s="381"/>
      <c r="G1254" s="382"/>
      <c r="H1254" s="382"/>
      <c r="I1254" s="382"/>
      <c r="J1254" s="382"/>
    </row>
    <row r="1255" ht="15.75" customHeight="1">
      <c r="A1255" s="369"/>
      <c r="B1255" s="370"/>
      <c r="C1255" s="371"/>
      <c r="D1255" s="372"/>
      <c r="E1255" s="373"/>
      <c r="F1255" s="374"/>
      <c r="G1255" s="375"/>
      <c r="H1255" s="375"/>
      <c r="I1255" s="375"/>
      <c r="J1255" s="375"/>
    </row>
    <row r="1256" ht="15.75" customHeight="1">
      <c r="A1256" s="376"/>
      <c r="B1256" s="377"/>
      <c r="C1256" s="378"/>
      <c r="D1256" s="379"/>
      <c r="E1256" s="380"/>
      <c r="F1256" s="381"/>
      <c r="G1256" s="382"/>
      <c r="H1256" s="382"/>
      <c r="I1256" s="382"/>
      <c r="J1256" s="382"/>
    </row>
    <row r="1257" ht="15.75" customHeight="1">
      <c r="A1257" s="369"/>
      <c r="B1257" s="370"/>
      <c r="C1257" s="371"/>
      <c r="D1257" s="372"/>
      <c r="E1257" s="373"/>
      <c r="F1257" s="374"/>
      <c r="G1257" s="375"/>
      <c r="H1257" s="375"/>
      <c r="I1257" s="375"/>
      <c r="J1257" s="375"/>
    </row>
    <row r="1258" ht="15.75" customHeight="1">
      <c r="A1258" s="376"/>
      <c r="B1258" s="377"/>
      <c r="C1258" s="378"/>
      <c r="D1258" s="379"/>
      <c r="E1258" s="380"/>
      <c r="F1258" s="381"/>
      <c r="G1258" s="382"/>
      <c r="H1258" s="382"/>
      <c r="I1258" s="382"/>
      <c r="J1258" s="382"/>
    </row>
    <row r="1259" ht="15.75" customHeight="1">
      <c r="A1259" s="369"/>
      <c r="B1259" s="370"/>
      <c r="C1259" s="371"/>
      <c r="D1259" s="372"/>
      <c r="E1259" s="373"/>
      <c r="F1259" s="374"/>
      <c r="G1259" s="375"/>
      <c r="H1259" s="375"/>
      <c r="I1259" s="375"/>
      <c r="J1259" s="375"/>
    </row>
    <row r="1260" ht="15.75" customHeight="1">
      <c r="A1260" s="376"/>
      <c r="B1260" s="377"/>
      <c r="C1260" s="378"/>
      <c r="D1260" s="379"/>
      <c r="E1260" s="380"/>
      <c r="F1260" s="381"/>
      <c r="G1260" s="382"/>
      <c r="H1260" s="382"/>
      <c r="I1260" s="382"/>
      <c r="J1260" s="382"/>
    </row>
    <row r="1261" ht="15.75" customHeight="1">
      <c r="A1261" s="369"/>
      <c r="B1261" s="370"/>
      <c r="C1261" s="371"/>
      <c r="D1261" s="372"/>
      <c r="E1261" s="373"/>
      <c r="F1261" s="374"/>
      <c r="G1261" s="375"/>
      <c r="H1261" s="375"/>
      <c r="I1261" s="375"/>
      <c r="J1261" s="375"/>
    </row>
    <row r="1262" ht="15.75" customHeight="1">
      <c r="A1262" s="376"/>
      <c r="B1262" s="377"/>
      <c r="C1262" s="378"/>
      <c r="D1262" s="379"/>
      <c r="E1262" s="380"/>
      <c r="F1262" s="381"/>
      <c r="G1262" s="382"/>
      <c r="H1262" s="382"/>
      <c r="I1262" s="382"/>
      <c r="J1262" s="382"/>
    </row>
    <row r="1263" ht="15.75" customHeight="1">
      <c r="A1263" s="369"/>
      <c r="B1263" s="370"/>
      <c r="C1263" s="371"/>
      <c r="D1263" s="372"/>
      <c r="E1263" s="373"/>
      <c r="F1263" s="374"/>
      <c r="G1263" s="375"/>
      <c r="H1263" s="375"/>
      <c r="I1263" s="375"/>
      <c r="J1263" s="375"/>
    </row>
    <row r="1264" ht="15.75" customHeight="1">
      <c r="A1264" s="376"/>
      <c r="B1264" s="377"/>
      <c r="C1264" s="378"/>
      <c r="D1264" s="379"/>
      <c r="E1264" s="380"/>
      <c r="F1264" s="381"/>
      <c r="G1264" s="382"/>
      <c r="H1264" s="383"/>
      <c r="I1264" s="383"/>
      <c r="J1264" s="384"/>
    </row>
    <row r="1265" ht="15.75" customHeight="1">
      <c r="A1265" s="369"/>
      <c r="B1265" s="370"/>
      <c r="C1265" s="371"/>
      <c r="D1265" s="372"/>
      <c r="E1265" s="373"/>
      <c r="F1265" s="374"/>
      <c r="G1265" s="375"/>
      <c r="H1265" s="375"/>
      <c r="I1265" s="375"/>
      <c r="J1265" s="375"/>
    </row>
    <row r="1266" ht="6.0" customHeight="1">
      <c r="A1266" s="334"/>
      <c r="B1266" s="334"/>
      <c r="C1266" s="335"/>
      <c r="D1266" s="336"/>
      <c r="E1266" s="334"/>
      <c r="F1266" s="334"/>
      <c r="G1266" s="334"/>
      <c r="H1266" s="334"/>
      <c r="I1266" s="334"/>
      <c r="J1266" s="334"/>
    </row>
    <row r="1267" ht="24.0" customHeight="1">
      <c r="A1267" s="313" t="s">
        <v>524</v>
      </c>
      <c r="B1267" s="55"/>
      <c r="C1267" s="55"/>
      <c r="D1267" s="55"/>
      <c r="E1267" s="55"/>
      <c r="F1267" s="56"/>
      <c r="G1267" s="314"/>
      <c r="H1267" s="315">
        <f>SUM(D1268:D1297)</f>
        <v>0</v>
      </c>
      <c r="I1267" s="316"/>
      <c r="J1267" s="317" t="str">
        <f>IF(I1267&gt;0,H1267/I1267,"")</f>
        <v/>
      </c>
    </row>
    <row r="1268" ht="15.75" customHeight="1">
      <c r="A1268" s="385"/>
      <c r="B1268" s="386"/>
      <c r="C1268" s="387"/>
      <c r="D1268" s="388"/>
      <c r="E1268" s="389"/>
      <c r="F1268" s="390"/>
      <c r="G1268" s="391"/>
      <c r="H1268" s="391"/>
      <c r="I1268" s="391"/>
      <c r="J1268" s="391"/>
    </row>
    <row r="1269" ht="15.75" customHeight="1">
      <c r="A1269" s="318"/>
      <c r="B1269" s="319"/>
      <c r="C1269" s="320"/>
      <c r="D1269" s="321"/>
      <c r="E1269" s="322"/>
      <c r="F1269" s="323"/>
      <c r="G1269" s="324"/>
      <c r="H1269" s="324"/>
      <c r="I1269" s="324"/>
      <c r="J1269" s="324"/>
    </row>
    <row r="1270" ht="15.75" customHeight="1">
      <c r="A1270" s="385"/>
      <c r="B1270" s="386"/>
      <c r="C1270" s="387"/>
      <c r="D1270" s="388"/>
      <c r="E1270" s="389"/>
      <c r="F1270" s="390"/>
      <c r="G1270" s="391"/>
      <c r="H1270" s="391"/>
      <c r="I1270" s="391"/>
      <c r="J1270" s="391"/>
    </row>
    <row r="1271" ht="15.75" customHeight="1">
      <c r="A1271" s="318"/>
      <c r="B1271" s="319"/>
      <c r="C1271" s="320"/>
      <c r="D1271" s="321"/>
      <c r="E1271" s="322"/>
      <c r="F1271" s="323"/>
      <c r="G1271" s="324"/>
      <c r="H1271" s="324"/>
      <c r="I1271" s="324"/>
      <c r="J1271" s="324"/>
    </row>
    <row r="1272" ht="15.75" customHeight="1">
      <c r="A1272" s="385"/>
      <c r="B1272" s="386"/>
      <c r="C1272" s="387"/>
      <c r="D1272" s="388"/>
      <c r="E1272" s="389"/>
      <c r="F1272" s="390"/>
      <c r="G1272" s="391"/>
      <c r="H1272" s="391"/>
      <c r="I1272" s="391"/>
      <c r="J1272" s="391"/>
    </row>
    <row r="1273" ht="15.75" customHeight="1">
      <c r="A1273" s="318"/>
      <c r="B1273" s="319"/>
      <c r="C1273" s="320"/>
      <c r="D1273" s="321"/>
      <c r="E1273" s="322"/>
      <c r="F1273" s="323"/>
      <c r="G1273" s="324"/>
      <c r="H1273" s="324"/>
      <c r="I1273" s="324"/>
      <c r="J1273" s="324"/>
    </row>
    <row r="1274" ht="15.75" customHeight="1">
      <c r="A1274" s="385"/>
      <c r="B1274" s="386"/>
      <c r="C1274" s="387"/>
      <c r="D1274" s="388"/>
      <c r="E1274" s="389"/>
      <c r="F1274" s="390"/>
      <c r="G1274" s="391"/>
      <c r="H1274" s="391"/>
      <c r="I1274" s="391"/>
      <c r="J1274" s="391"/>
    </row>
    <row r="1275" ht="15.75" customHeight="1">
      <c r="A1275" s="318"/>
      <c r="B1275" s="319"/>
      <c r="C1275" s="320"/>
      <c r="D1275" s="321"/>
      <c r="E1275" s="322"/>
      <c r="F1275" s="323"/>
      <c r="G1275" s="324"/>
      <c r="H1275" s="324"/>
      <c r="I1275" s="324"/>
      <c r="J1275" s="324"/>
    </row>
    <row r="1276" ht="15.75" customHeight="1">
      <c r="A1276" s="385"/>
      <c r="B1276" s="386"/>
      <c r="C1276" s="387"/>
      <c r="D1276" s="388"/>
      <c r="E1276" s="389"/>
      <c r="F1276" s="390"/>
      <c r="G1276" s="391"/>
      <c r="H1276" s="391"/>
      <c r="I1276" s="391"/>
      <c r="J1276" s="391"/>
    </row>
    <row r="1277" ht="15.75" customHeight="1">
      <c r="A1277" s="318"/>
      <c r="B1277" s="319"/>
      <c r="C1277" s="320"/>
      <c r="D1277" s="321"/>
      <c r="E1277" s="322"/>
      <c r="F1277" s="323"/>
      <c r="G1277" s="324"/>
      <c r="H1277" s="324"/>
      <c r="I1277" s="324"/>
      <c r="J1277" s="324"/>
    </row>
    <row r="1278" ht="15.75" customHeight="1">
      <c r="A1278" s="385"/>
      <c r="B1278" s="386"/>
      <c r="C1278" s="387"/>
      <c r="D1278" s="388"/>
      <c r="E1278" s="389"/>
      <c r="F1278" s="390"/>
      <c r="G1278" s="391"/>
      <c r="H1278" s="391"/>
      <c r="I1278" s="391"/>
      <c r="J1278" s="391"/>
    </row>
    <row r="1279" ht="15.75" customHeight="1">
      <c r="A1279" s="318"/>
      <c r="B1279" s="319"/>
      <c r="C1279" s="320"/>
      <c r="D1279" s="321"/>
      <c r="E1279" s="322"/>
      <c r="F1279" s="323"/>
      <c r="G1279" s="324"/>
      <c r="H1279" s="324"/>
      <c r="I1279" s="324"/>
      <c r="J1279" s="324"/>
    </row>
    <row r="1280" ht="15.75" customHeight="1">
      <c r="A1280" s="385"/>
      <c r="B1280" s="386"/>
      <c r="C1280" s="387"/>
      <c r="D1280" s="388"/>
      <c r="E1280" s="389"/>
      <c r="F1280" s="390"/>
      <c r="G1280" s="391"/>
      <c r="H1280" s="391"/>
      <c r="I1280" s="391"/>
      <c r="J1280" s="391"/>
    </row>
    <row r="1281" ht="15.75" customHeight="1">
      <c r="A1281" s="318"/>
      <c r="B1281" s="319"/>
      <c r="C1281" s="320"/>
      <c r="D1281" s="321"/>
      <c r="E1281" s="322"/>
      <c r="F1281" s="323"/>
      <c r="G1281" s="324"/>
      <c r="H1281" s="324"/>
      <c r="I1281" s="324"/>
      <c r="J1281" s="324"/>
    </row>
    <row r="1282" ht="15.75" customHeight="1">
      <c r="A1282" s="385"/>
      <c r="B1282" s="386"/>
      <c r="C1282" s="387"/>
      <c r="D1282" s="388"/>
      <c r="E1282" s="389"/>
      <c r="F1282" s="390"/>
      <c r="G1282" s="391"/>
      <c r="H1282" s="391"/>
      <c r="I1282" s="391"/>
      <c r="J1282" s="391"/>
    </row>
    <row r="1283" ht="15.75" customHeight="1">
      <c r="A1283" s="318"/>
      <c r="B1283" s="319"/>
      <c r="C1283" s="320"/>
      <c r="D1283" s="321"/>
      <c r="E1283" s="322"/>
      <c r="F1283" s="323"/>
      <c r="G1283" s="324"/>
      <c r="H1283" s="324"/>
      <c r="I1283" s="324"/>
      <c r="J1283" s="324"/>
    </row>
    <row r="1284" ht="15.75" customHeight="1">
      <c r="A1284" s="385"/>
      <c r="B1284" s="386"/>
      <c r="C1284" s="387"/>
      <c r="D1284" s="388"/>
      <c r="E1284" s="389"/>
      <c r="F1284" s="390"/>
      <c r="G1284" s="391"/>
      <c r="H1284" s="391"/>
      <c r="I1284" s="391"/>
      <c r="J1284" s="391"/>
    </row>
    <row r="1285" ht="15.75" customHeight="1">
      <c r="A1285" s="318"/>
      <c r="B1285" s="319"/>
      <c r="C1285" s="320"/>
      <c r="D1285" s="321"/>
      <c r="E1285" s="322"/>
      <c r="F1285" s="323"/>
      <c r="G1285" s="324"/>
      <c r="H1285" s="324"/>
      <c r="I1285" s="324"/>
      <c r="J1285" s="324"/>
    </row>
    <row r="1286" ht="15.75" customHeight="1">
      <c r="A1286" s="385"/>
      <c r="B1286" s="386"/>
      <c r="C1286" s="387"/>
      <c r="D1286" s="388"/>
      <c r="E1286" s="389"/>
      <c r="F1286" s="390"/>
      <c r="G1286" s="391"/>
      <c r="H1286" s="391"/>
      <c r="I1286" s="391"/>
      <c r="J1286" s="391"/>
    </row>
    <row r="1287" ht="15.75" customHeight="1">
      <c r="A1287" s="318"/>
      <c r="B1287" s="319"/>
      <c r="C1287" s="320"/>
      <c r="D1287" s="321"/>
      <c r="E1287" s="322"/>
      <c r="F1287" s="323"/>
      <c r="G1287" s="324"/>
      <c r="H1287" s="324"/>
      <c r="I1287" s="324"/>
      <c r="J1287" s="324"/>
    </row>
    <row r="1288" ht="15.75" customHeight="1">
      <c r="A1288" s="385"/>
      <c r="B1288" s="386"/>
      <c r="C1288" s="387"/>
      <c r="D1288" s="388"/>
      <c r="E1288" s="389"/>
      <c r="F1288" s="390"/>
      <c r="G1288" s="391"/>
      <c r="H1288" s="391"/>
      <c r="I1288" s="391"/>
      <c r="J1288" s="391"/>
    </row>
    <row r="1289" ht="15.75" customHeight="1">
      <c r="A1289" s="318"/>
      <c r="B1289" s="319"/>
      <c r="C1289" s="320"/>
      <c r="D1289" s="321"/>
      <c r="E1289" s="322"/>
      <c r="F1289" s="323"/>
      <c r="G1289" s="324"/>
      <c r="H1289" s="324"/>
      <c r="I1289" s="324"/>
      <c r="J1289" s="324"/>
    </row>
    <row r="1290" ht="15.75" customHeight="1">
      <c r="A1290" s="385"/>
      <c r="B1290" s="386"/>
      <c r="C1290" s="387"/>
      <c r="D1290" s="388"/>
      <c r="E1290" s="389"/>
      <c r="F1290" s="390"/>
      <c r="G1290" s="391"/>
      <c r="H1290" s="391"/>
      <c r="I1290" s="391"/>
      <c r="J1290" s="391"/>
    </row>
    <row r="1291" ht="15.75" customHeight="1">
      <c r="A1291" s="318"/>
      <c r="B1291" s="319"/>
      <c r="C1291" s="320"/>
      <c r="D1291" s="321"/>
      <c r="E1291" s="322"/>
      <c r="F1291" s="323"/>
      <c r="G1291" s="324"/>
      <c r="H1291" s="324"/>
      <c r="I1291" s="324"/>
      <c r="J1291" s="324"/>
    </row>
    <row r="1292" ht="15.75" customHeight="1">
      <c r="A1292" s="385"/>
      <c r="B1292" s="386"/>
      <c r="C1292" s="387"/>
      <c r="D1292" s="388"/>
      <c r="E1292" s="389"/>
      <c r="F1292" s="390"/>
      <c r="G1292" s="391"/>
      <c r="H1292" s="391"/>
      <c r="I1292" s="391"/>
      <c r="J1292" s="391"/>
    </row>
    <row r="1293" ht="15.75" customHeight="1">
      <c r="A1293" s="318"/>
      <c r="B1293" s="319"/>
      <c r="C1293" s="320"/>
      <c r="D1293" s="321"/>
      <c r="E1293" s="322"/>
      <c r="F1293" s="323"/>
      <c r="G1293" s="324"/>
      <c r="H1293" s="324"/>
      <c r="I1293" s="324"/>
      <c r="J1293" s="324"/>
    </row>
    <row r="1294" ht="15.75" customHeight="1">
      <c r="A1294" s="385"/>
      <c r="B1294" s="386"/>
      <c r="C1294" s="387"/>
      <c r="D1294" s="388"/>
      <c r="E1294" s="389"/>
      <c r="F1294" s="390"/>
      <c r="G1294" s="391"/>
      <c r="H1294" s="391"/>
      <c r="I1294" s="391"/>
      <c r="J1294" s="391"/>
    </row>
    <row r="1295" ht="15.75" customHeight="1">
      <c r="A1295" s="318"/>
      <c r="B1295" s="319"/>
      <c r="C1295" s="320"/>
      <c r="D1295" s="321"/>
      <c r="E1295" s="322"/>
      <c r="F1295" s="323"/>
      <c r="G1295" s="324"/>
      <c r="H1295" s="324"/>
      <c r="I1295" s="324"/>
      <c r="J1295" s="324"/>
    </row>
    <row r="1296" ht="15.75" customHeight="1">
      <c r="A1296" s="385"/>
      <c r="B1296" s="386"/>
      <c r="C1296" s="387"/>
      <c r="D1296" s="388"/>
      <c r="E1296" s="389"/>
      <c r="F1296" s="390"/>
      <c r="G1296" s="391"/>
      <c r="H1296" s="418"/>
      <c r="I1296" s="418"/>
      <c r="J1296" s="419"/>
    </row>
    <row r="1297" ht="15.75" customHeight="1">
      <c r="A1297" s="318"/>
      <c r="B1297" s="319"/>
      <c r="C1297" s="320"/>
      <c r="D1297" s="321"/>
      <c r="E1297" s="322"/>
      <c r="F1297" s="323"/>
      <c r="G1297" s="324"/>
      <c r="H1297" s="324"/>
      <c r="I1297" s="324"/>
      <c r="J1297" s="324"/>
    </row>
    <row r="1298" ht="6.0" customHeight="1">
      <c r="A1298" s="334"/>
      <c r="B1298" s="334"/>
      <c r="C1298" s="335"/>
      <c r="D1298" s="336"/>
      <c r="E1298" s="334"/>
      <c r="F1298" s="334"/>
      <c r="G1298" s="334"/>
      <c r="H1298" s="334"/>
      <c r="I1298" s="334"/>
      <c r="J1298" s="334"/>
    </row>
    <row r="1299" ht="24.0" customHeight="1">
      <c r="A1299" s="313" t="s">
        <v>525</v>
      </c>
      <c r="B1299" s="55"/>
      <c r="C1299" s="55"/>
      <c r="D1299" s="55"/>
      <c r="E1299" s="55"/>
      <c r="F1299" s="56"/>
      <c r="G1299" s="314"/>
      <c r="H1299" s="315">
        <f>SUM(D1300:D1329)</f>
        <v>0</v>
      </c>
      <c r="I1299" s="316"/>
      <c r="J1299" s="317" t="str">
        <f>IF(I1299&gt;0,H1299/I1299,"")</f>
        <v/>
      </c>
    </row>
    <row r="1300" ht="15.75" customHeight="1">
      <c r="A1300" s="394"/>
      <c r="B1300" s="395"/>
      <c r="C1300" s="396"/>
      <c r="D1300" s="397"/>
      <c r="E1300" s="398"/>
      <c r="F1300" s="399"/>
      <c r="G1300" s="400"/>
      <c r="H1300" s="400"/>
      <c r="I1300" s="400"/>
      <c r="J1300" s="400"/>
    </row>
    <row r="1301" ht="15.75" customHeight="1">
      <c r="A1301" s="401"/>
      <c r="B1301" s="402"/>
      <c r="C1301" s="403"/>
      <c r="D1301" s="404"/>
      <c r="E1301" s="405"/>
      <c r="F1301" s="406"/>
      <c r="G1301" s="407"/>
      <c r="H1301" s="407"/>
      <c r="I1301" s="407"/>
      <c r="J1301" s="407"/>
    </row>
    <row r="1302" ht="15.75" customHeight="1">
      <c r="A1302" s="394"/>
      <c r="B1302" s="395"/>
      <c r="C1302" s="396"/>
      <c r="D1302" s="397"/>
      <c r="E1302" s="398"/>
      <c r="F1302" s="399"/>
      <c r="G1302" s="400"/>
      <c r="H1302" s="400"/>
      <c r="I1302" s="400"/>
      <c r="J1302" s="400"/>
    </row>
    <row r="1303" ht="15.75" customHeight="1">
      <c r="A1303" s="401"/>
      <c r="B1303" s="402"/>
      <c r="C1303" s="403"/>
      <c r="D1303" s="404"/>
      <c r="E1303" s="405"/>
      <c r="F1303" s="406"/>
      <c r="G1303" s="407"/>
      <c r="H1303" s="407"/>
      <c r="I1303" s="407"/>
      <c r="J1303" s="407"/>
    </row>
    <row r="1304" ht="15.75" customHeight="1">
      <c r="A1304" s="394"/>
      <c r="B1304" s="395"/>
      <c r="C1304" s="396"/>
      <c r="D1304" s="397"/>
      <c r="E1304" s="398"/>
      <c r="F1304" s="399"/>
      <c r="G1304" s="400"/>
      <c r="H1304" s="400"/>
      <c r="I1304" s="400"/>
      <c r="J1304" s="400"/>
    </row>
    <row r="1305" ht="15.75" customHeight="1">
      <c r="A1305" s="401"/>
      <c r="B1305" s="402"/>
      <c r="C1305" s="403"/>
      <c r="D1305" s="404"/>
      <c r="E1305" s="405"/>
      <c r="F1305" s="406"/>
      <c r="G1305" s="407"/>
      <c r="H1305" s="407"/>
      <c r="I1305" s="407"/>
      <c r="J1305" s="407"/>
    </row>
    <row r="1306" ht="15.75" customHeight="1">
      <c r="A1306" s="394"/>
      <c r="B1306" s="395"/>
      <c r="C1306" s="396"/>
      <c r="D1306" s="397"/>
      <c r="E1306" s="398"/>
      <c r="F1306" s="399"/>
      <c r="G1306" s="400"/>
      <c r="H1306" s="400"/>
      <c r="I1306" s="400"/>
      <c r="J1306" s="400"/>
    </row>
    <row r="1307" ht="15.75" customHeight="1">
      <c r="A1307" s="401"/>
      <c r="B1307" s="402"/>
      <c r="C1307" s="403"/>
      <c r="D1307" s="404"/>
      <c r="E1307" s="405"/>
      <c r="F1307" s="406"/>
      <c r="G1307" s="407"/>
      <c r="H1307" s="407"/>
      <c r="I1307" s="407"/>
      <c r="J1307" s="407"/>
    </row>
    <row r="1308" ht="15.75" customHeight="1">
      <c r="A1308" s="394"/>
      <c r="B1308" s="395"/>
      <c r="C1308" s="396"/>
      <c r="D1308" s="397"/>
      <c r="E1308" s="398"/>
      <c r="F1308" s="399"/>
      <c r="G1308" s="400"/>
      <c r="H1308" s="400"/>
      <c r="I1308" s="400"/>
      <c r="J1308" s="400"/>
    </row>
    <row r="1309" ht="15.75" customHeight="1">
      <c r="A1309" s="401"/>
      <c r="B1309" s="402"/>
      <c r="C1309" s="403"/>
      <c r="D1309" s="404"/>
      <c r="E1309" s="405"/>
      <c r="F1309" s="406"/>
      <c r="G1309" s="407"/>
      <c r="H1309" s="407"/>
      <c r="I1309" s="407"/>
      <c r="J1309" s="407"/>
    </row>
    <row r="1310" ht="15.75" customHeight="1">
      <c r="A1310" s="394"/>
      <c r="B1310" s="395"/>
      <c r="C1310" s="396"/>
      <c r="D1310" s="397"/>
      <c r="E1310" s="398"/>
      <c r="F1310" s="399"/>
      <c r="G1310" s="400"/>
      <c r="H1310" s="400"/>
      <c r="I1310" s="400"/>
      <c r="J1310" s="400"/>
    </row>
    <row r="1311" ht="15.75" customHeight="1">
      <c r="A1311" s="401"/>
      <c r="B1311" s="402"/>
      <c r="C1311" s="403"/>
      <c r="D1311" s="404"/>
      <c r="E1311" s="405"/>
      <c r="F1311" s="406"/>
      <c r="G1311" s="407"/>
      <c r="H1311" s="407"/>
      <c r="I1311" s="407"/>
      <c r="J1311" s="407"/>
    </row>
    <row r="1312" ht="15.75" customHeight="1">
      <c r="A1312" s="394"/>
      <c r="B1312" s="395"/>
      <c r="C1312" s="396"/>
      <c r="D1312" s="397"/>
      <c r="E1312" s="398"/>
      <c r="F1312" s="399"/>
      <c r="G1312" s="400"/>
      <c r="H1312" s="400"/>
      <c r="I1312" s="400"/>
      <c r="J1312" s="400"/>
    </row>
    <row r="1313" ht="15.75" customHeight="1">
      <c r="A1313" s="401"/>
      <c r="B1313" s="402"/>
      <c r="C1313" s="403"/>
      <c r="D1313" s="404"/>
      <c r="E1313" s="405"/>
      <c r="F1313" s="406"/>
      <c r="G1313" s="407"/>
      <c r="H1313" s="407"/>
      <c r="I1313" s="407"/>
      <c r="J1313" s="407"/>
    </row>
    <row r="1314" ht="15.75" customHeight="1">
      <c r="A1314" s="394"/>
      <c r="B1314" s="395"/>
      <c r="C1314" s="396"/>
      <c r="D1314" s="397"/>
      <c r="E1314" s="398"/>
      <c r="F1314" s="399"/>
      <c r="G1314" s="400"/>
      <c r="H1314" s="400"/>
      <c r="I1314" s="400"/>
      <c r="J1314" s="400"/>
    </row>
    <row r="1315" ht="15.75" customHeight="1">
      <c r="A1315" s="401"/>
      <c r="B1315" s="402"/>
      <c r="C1315" s="403"/>
      <c r="D1315" s="404"/>
      <c r="E1315" s="405"/>
      <c r="F1315" s="406"/>
      <c r="G1315" s="407"/>
      <c r="H1315" s="407"/>
      <c r="I1315" s="407"/>
      <c r="J1315" s="407"/>
    </row>
    <row r="1316" ht="15.75" customHeight="1">
      <c r="A1316" s="394"/>
      <c r="B1316" s="395"/>
      <c r="C1316" s="396"/>
      <c r="D1316" s="397"/>
      <c r="E1316" s="398"/>
      <c r="F1316" s="399"/>
      <c r="G1316" s="400"/>
      <c r="H1316" s="400"/>
      <c r="I1316" s="400"/>
      <c r="J1316" s="400"/>
    </row>
    <row r="1317" ht="15.75" customHeight="1">
      <c r="A1317" s="401"/>
      <c r="B1317" s="402"/>
      <c r="C1317" s="403"/>
      <c r="D1317" s="404"/>
      <c r="E1317" s="405"/>
      <c r="F1317" s="406"/>
      <c r="G1317" s="407"/>
      <c r="H1317" s="407"/>
      <c r="I1317" s="407"/>
      <c r="J1317" s="407"/>
    </row>
    <row r="1318" ht="15.75" customHeight="1">
      <c r="A1318" s="394"/>
      <c r="B1318" s="395"/>
      <c r="C1318" s="396"/>
      <c r="D1318" s="397"/>
      <c r="E1318" s="398"/>
      <c r="F1318" s="399"/>
      <c r="G1318" s="400"/>
      <c r="H1318" s="400"/>
      <c r="I1318" s="400"/>
      <c r="J1318" s="400"/>
    </row>
    <row r="1319" ht="15.75" customHeight="1">
      <c r="A1319" s="401"/>
      <c r="B1319" s="402"/>
      <c r="C1319" s="403"/>
      <c r="D1319" s="404"/>
      <c r="E1319" s="405"/>
      <c r="F1319" s="406"/>
      <c r="G1319" s="407"/>
      <c r="H1319" s="407"/>
      <c r="I1319" s="407"/>
      <c r="J1319" s="407"/>
    </row>
    <row r="1320" ht="15.75" customHeight="1">
      <c r="A1320" s="394"/>
      <c r="B1320" s="395"/>
      <c r="C1320" s="396"/>
      <c r="D1320" s="397"/>
      <c r="E1320" s="398"/>
      <c r="F1320" s="399"/>
      <c r="G1320" s="400"/>
      <c r="H1320" s="400"/>
      <c r="I1320" s="400"/>
      <c r="J1320" s="400"/>
    </row>
    <row r="1321" ht="15.75" customHeight="1">
      <c r="A1321" s="401"/>
      <c r="B1321" s="402"/>
      <c r="C1321" s="403"/>
      <c r="D1321" s="404"/>
      <c r="E1321" s="405"/>
      <c r="F1321" s="406"/>
      <c r="G1321" s="407"/>
      <c r="H1321" s="407"/>
      <c r="I1321" s="407"/>
      <c r="J1321" s="407"/>
    </row>
    <row r="1322" ht="15.75" customHeight="1">
      <c r="A1322" s="394"/>
      <c r="B1322" s="395"/>
      <c r="C1322" s="396"/>
      <c r="D1322" s="397"/>
      <c r="E1322" s="398"/>
      <c r="F1322" s="399"/>
      <c r="G1322" s="400"/>
      <c r="H1322" s="400"/>
      <c r="I1322" s="400"/>
      <c r="J1322" s="400"/>
    </row>
    <row r="1323" ht="15.75" customHeight="1">
      <c r="A1323" s="401"/>
      <c r="B1323" s="402"/>
      <c r="C1323" s="403"/>
      <c r="D1323" s="404"/>
      <c r="E1323" s="405"/>
      <c r="F1323" s="406"/>
      <c r="G1323" s="407"/>
      <c r="H1323" s="407"/>
      <c r="I1323" s="407"/>
      <c r="J1323" s="407"/>
    </row>
    <row r="1324" ht="15.75" customHeight="1">
      <c r="A1324" s="394"/>
      <c r="B1324" s="395"/>
      <c r="C1324" s="396"/>
      <c r="D1324" s="397"/>
      <c r="E1324" s="398"/>
      <c r="F1324" s="399"/>
      <c r="G1324" s="400"/>
      <c r="H1324" s="400"/>
      <c r="I1324" s="400"/>
      <c r="J1324" s="400"/>
    </row>
    <row r="1325" ht="15.75" customHeight="1">
      <c r="A1325" s="401"/>
      <c r="B1325" s="402"/>
      <c r="C1325" s="403"/>
      <c r="D1325" s="404"/>
      <c r="E1325" s="405"/>
      <c r="F1325" s="406"/>
      <c r="G1325" s="407"/>
      <c r="H1325" s="407"/>
      <c r="I1325" s="407"/>
      <c r="J1325" s="407"/>
    </row>
    <row r="1326" ht="15.75" customHeight="1">
      <c r="A1326" s="394"/>
      <c r="B1326" s="395"/>
      <c r="C1326" s="396"/>
      <c r="D1326" s="397"/>
      <c r="E1326" s="398"/>
      <c r="F1326" s="399"/>
      <c r="G1326" s="400"/>
      <c r="H1326" s="400"/>
      <c r="I1326" s="400"/>
      <c r="J1326" s="400"/>
    </row>
    <row r="1327" ht="15.75" customHeight="1">
      <c r="A1327" s="401"/>
      <c r="B1327" s="402"/>
      <c r="C1327" s="403"/>
      <c r="D1327" s="404"/>
      <c r="E1327" s="405"/>
      <c r="F1327" s="406"/>
      <c r="G1327" s="407"/>
      <c r="H1327" s="407"/>
      <c r="I1327" s="407"/>
      <c r="J1327" s="407"/>
    </row>
    <row r="1328" ht="15.75" customHeight="1">
      <c r="A1328" s="394"/>
      <c r="B1328" s="395"/>
      <c r="C1328" s="396"/>
      <c r="D1328" s="397"/>
      <c r="E1328" s="398"/>
      <c r="F1328" s="399"/>
      <c r="G1328" s="400"/>
      <c r="H1328" s="408"/>
      <c r="I1328" s="408"/>
      <c r="J1328" s="409"/>
    </row>
    <row r="1329" ht="15.75" customHeight="1">
      <c r="A1329" s="401"/>
      <c r="B1329" s="402"/>
      <c r="C1329" s="403"/>
      <c r="D1329" s="404"/>
      <c r="E1329" s="405"/>
      <c r="F1329" s="406"/>
      <c r="G1329" s="407"/>
      <c r="H1329" s="407"/>
      <c r="I1329" s="407"/>
      <c r="J1329" s="407"/>
    </row>
    <row r="1330" ht="6.0" customHeight="1">
      <c r="A1330" s="334"/>
      <c r="B1330" s="334"/>
      <c r="C1330" s="335"/>
      <c r="D1330" s="336"/>
      <c r="E1330" s="334"/>
      <c r="F1330" s="334"/>
      <c r="G1330" s="334"/>
      <c r="H1330" s="334"/>
      <c r="I1330" s="334"/>
      <c r="J1330" s="334"/>
    </row>
    <row r="1331" ht="24.0" customHeight="1">
      <c r="A1331" s="313" t="s">
        <v>526</v>
      </c>
      <c r="B1331" s="55"/>
      <c r="C1331" s="55"/>
      <c r="D1331" s="55"/>
      <c r="E1331" s="55"/>
      <c r="F1331" s="56"/>
      <c r="G1331" s="314"/>
      <c r="H1331" s="315">
        <f>SUM(D1332:D1361)</f>
        <v>0</v>
      </c>
      <c r="I1331" s="316"/>
      <c r="J1331" s="317" t="str">
        <f>IF(I1331&gt;0,H1331/I1331,"")</f>
        <v/>
      </c>
    </row>
    <row r="1332" ht="15.75" customHeight="1">
      <c r="A1332" s="318"/>
      <c r="B1332" s="319"/>
      <c r="C1332" s="320"/>
      <c r="D1332" s="321"/>
      <c r="E1332" s="322"/>
      <c r="F1332" s="323"/>
      <c r="G1332" s="324"/>
      <c r="H1332" s="324"/>
      <c r="I1332" s="324"/>
      <c r="J1332" s="324"/>
    </row>
    <row r="1333" ht="15.75" customHeight="1">
      <c r="A1333" s="325"/>
      <c r="B1333" s="326"/>
      <c r="C1333" s="327"/>
      <c r="D1333" s="328"/>
      <c r="E1333" s="329"/>
      <c r="F1333" s="330"/>
      <c r="G1333" s="331"/>
      <c r="H1333" s="331"/>
      <c r="I1333" s="331"/>
      <c r="J1333" s="331"/>
    </row>
    <row r="1334" ht="15.75" customHeight="1">
      <c r="A1334" s="318"/>
      <c r="B1334" s="319"/>
      <c r="C1334" s="320"/>
      <c r="D1334" s="321"/>
      <c r="E1334" s="322"/>
      <c r="F1334" s="323"/>
      <c r="G1334" s="324"/>
      <c r="H1334" s="324"/>
      <c r="I1334" s="324"/>
      <c r="J1334" s="324"/>
    </row>
    <row r="1335" ht="15.75" customHeight="1">
      <c r="A1335" s="325"/>
      <c r="B1335" s="326"/>
      <c r="C1335" s="327"/>
      <c r="D1335" s="328"/>
      <c r="E1335" s="329"/>
      <c r="F1335" s="330"/>
      <c r="G1335" s="331"/>
      <c r="H1335" s="331"/>
      <c r="I1335" s="331"/>
      <c r="J1335" s="331"/>
    </row>
    <row r="1336" ht="15.75" customHeight="1">
      <c r="A1336" s="318"/>
      <c r="B1336" s="319"/>
      <c r="C1336" s="320"/>
      <c r="D1336" s="321"/>
      <c r="E1336" s="322"/>
      <c r="F1336" s="323"/>
      <c r="G1336" s="324"/>
      <c r="H1336" s="324"/>
      <c r="I1336" s="324"/>
      <c r="J1336" s="324"/>
    </row>
    <row r="1337" ht="15.75" customHeight="1">
      <c r="A1337" s="325"/>
      <c r="B1337" s="326"/>
      <c r="C1337" s="327"/>
      <c r="D1337" s="328"/>
      <c r="E1337" s="329"/>
      <c r="F1337" s="330"/>
      <c r="G1337" s="331"/>
      <c r="H1337" s="331"/>
      <c r="I1337" s="331"/>
      <c r="J1337" s="331"/>
    </row>
    <row r="1338" ht="15.75" customHeight="1">
      <c r="A1338" s="318"/>
      <c r="B1338" s="319"/>
      <c r="C1338" s="320"/>
      <c r="D1338" s="321"/>
      <c r="E1338" s="322"/>
      <c r="F1338" s="323"/>
      <c r="G1338" s="324"/>
      <c r="H1338" s="324"/>
      <c r="I1338" s="324"/>
      <c r="J1338" s="324"/>
    </row>
    <row r="1339" ht="15.75" customHeight="1">
      <c r="A1339" s="325"/>
      <c r="B1339" s="326"/>
      <c r="C1339" s="327"/>
      <c r="D1339" s="328"/>
      <c r="E1339" s="329"/>
      <c r="F1339" s="330"/>
      <c r="G1339" s="331"/>
      <c r="H1339" s="331"/>
      <c r="I1339" s="331"/>
      <c r="J1339" s="331"/>
    </row>
    <row r="1340" ht="15.75" customHeight="1">
      <c r="A1340" s="318"/>
      <c r="B1340" s="319"/>
      <c r="C1340" s="320"/>
      <c r="D1340" s="321"/>
      <c r="E1340" s="322"/>
      <c r="F1340" s="323"/>
      <c r="G1340" s="324"/>
      <c r="H1340" s="324"/>
      <c r="I1340" s="324"/>
      <c r="J1340" s="324"/>
    </row>
    <row r="1341" ht="15.75" customHeight="1">
      <c r="A1341" s="325"/>
      <c r="B1341" s="326"/>
      <c r="C1341" s="327"/>
      <c r="D1341" s="328"/>
      <c r="E1341" s="329"/>
      <c r="F1341" s="330"/>
      <c r="G1341" s="331"/>
      <c r="H1341" s="331"/>
      <c r="I1341" s="331"/>
      <c r="J1341" s="331"/>
    </row>
    <row r="1342" ht="15.75" customHeight="1">
      <c r="A1342" s="318"/>
      <c r="B1342" s="319"/>
      <c r="C1342" s="320"/>
      <c r="D1342" s="321"/>
      <c r="E1342" s="322"/>
      <c r="F1342" s="323"/>
      <c r="G1342" s="324"/>
      <c r="H1342" s="324"/>
      <c r="I1342" s="324"/>
      <c r="J1342" s="324"/>
    </row>
    <row r="1343" ht="15.75" customHeight="1">
      <c r="A1343" s="325"/>
      <c r="B1343" s="326"/>
      <c r="C1343" s="327"/>
      <c r="D1343" s="328"/>
      <c r="E1343" s="329"/>
      <c r="F1343" s="330"/>
      <c r="G1343" s="331"/>
      <c r="H1343" s="331"/>
      <c r="I1343" s="331"/>
      <c r="J1343" s="331"/>
    </row>
    <row r="1344" ht="15.75" customHeight="1">
      <c r="A1344" s="318"/>
      <c r="B1344" s="319"/>
      <c r="C1344" s="320"/>
      <c r="D1344" s="321"/>
      <c r="E1344" s="322"/>
      <c r="F1344" s="323"/>
      <c r="G1344" s="324"/>
      <c r="H1344" s="324"/>
      <c r="I1344" s="324"/>
      <c r="J1344" s="324"/>
    </row>
    <row r="1345" ht="15.75" customHeight="1">
      <c r="A1345" s="325"/>
      <c r="B1345" s="326"/>
      <c r="C1345" s="327"/>
      <c r="D1345" s="328"/>
      <c r="E1345" s="329"/>
      <c r="F1345" s="330"/>
      <c r="G1345" s="331"/>
      <c r="H1345" s="331"/>
      <c r="I1345" s="331"/>
      <c r="J1345" s="331"/>
    </row>
    <row r="1346" ht="15.75" customHeight="1">
      <c r="A1346" s="318"/>
      <c r="B1346" s="319"/>
      <c r="C1346" s="320"/>
      <c r="D1346" s="321"/>
      <c r="E1346" s="322"/>
      <c r="F1346" s="323"/>
      <c r="G1346" s="324"/>
      <c r="H1346" s="324"/>
      <c r="I1346" s="324"/>
      <c r="J1346" s="324"/>
    </row>
    <row r="1347" ht="15.75" customHeight="1">
      <c r="A1347" s="325"/>
      <c r="B1347" s="326"/>
      <c r="C1347" s="327"/>
      <c r="D1347" s="328"/>
      <c r="E1347" s="329"/>
      <c r="F1347" s="330"/>
      <c r="G1347" s="331"/>
      <c r="H1347" s="331"/>
      <c r="I1347" s="331"/>
      <c r="J1347" s="331"/>
    </row>
    <row r="1348" ht="15.75" customHeight="1">
      <c r="A1348" s="318"/>
      <c r="B1348" s="319"/>
      <c r="C1348" s="320"/>
      <c r="D1348" s="321"/>
      <c r="E1348" s="322"/>
      <c r="F1348" s="323"/>
      <c r="G1348" s="324"/>
      <c r="H1348" s="324"/>
      <c r="I1348" s="324"/>
      <c r="J1348" s="324"/>
    </row>
    <row r="1349" ht="15.75" customHeight="1">
      <c r="A1349" s="325"/>
      <c r="B1349" s="326"/>
      <c r="C1349" s="327"/>
      <c r="D1349" s="328"/>
      <c r="E1349" s="329"/>
      <c r="F1349" s="330"/>
      <c r="G1349" s="331"/>
      <c r="H1349" s="331"/>
      <c r="I1349" s="331"/>
      <c r="J1349" s="331"/>
    </row>
    <row r="1350" ht="15.75" customHeight="1">
      <c r="A1350" s="318"/>
      <c r="B1350" s="319"/>
      <c r="C1350" s="320"/>
      <c r="D1350" s="321"/>
      <c r="E1350" s="322"/>
      <c r="F1350" s="323"/>
      <c r="G1350" s="324"/>
      <c r="H1350" s="324"/>
      <c r="I1350" s="324"/>
      <c r="J1350" s="324"/>
    </row>
    <row r="1351" ht="15.75" customHeight="1">
      <c r="A1351" s="325"/>
      <c r="B1351" s="326"/>
      <c r="C1351" s="327"/>
      <c r="D1351" s="328"/>
      <c r="E1351" s="329"/>
      <c r="F1351" s="330"/>
      <c r="G1351" s="331"/>
      <c r="H1351" s="331"/>
      <c r="I1351" s="331"/>
      <c r="J1351" s="331"/>
    </row>
    <row r="1352" ht="15.75" customHeight="1">
      <c r="A1352" s="318"/>
      <c r="B1352" s="319"/>
      <c r="C1352" s="320"/>
      <c r="D1352" s="321"/>
      <c r="E1352" s="322"/>
      <c r="F1352" s="323"/>
      <c r="G1352" s="324"/>
      <c r="H1352" s="324"/>
      <c r="I1352" s="324"/>
      <c r="J1352" s="324"/>
    </row>
    <row r="1353" ht="15.75" customHeight="1">
      <c r="A1353" s="325"/>
      <c r="B1353" s="326"/>
      <c r="C1353" s="327"/>
      <c r="D1353" s="328"/>
      <c r="E1353" s="329"/>
      <c r="F1353" s="330"/>
      <c r="G1353" s="331"/>
      <c r="H1353" s="331"/>
      <c r="I1353" s="331"/>
      <c r="J1353" s="331"/>
    </row>
    <row r="1354" ht="15.75" customHeight="1">
      <c r="A1354" s="318"/>
      <c r="B1354" s="319"/>
      <c r="C1354" s="320"/>
      <c r="D1354" s="321"/>
      <c r="E1354" s="322"/>
      <c r="F1354" s="323"/>
      <c r="G1354" s="324"/>
      <c r="H1354" s="324"/>
      <c r="I1354" s="324"/>
      <c r="J1354" s="324"/>
    </row>
    <row r="1355" ht="15.75" customHeight="1">
      <c r="A1355" s="325"/>
      <c r="B1355" s="326"/>
      <c r="C1355" s="327"/>
      <c r="D1355" s="328"/>
      <c r="E1355" s="329"/>
      <c r="F1355" s="330"/>
      <c r="G1355" s="331"/>
      <c r="H1355" s="331"/>
      <c r="I1355" s="331"/>
      <c r="J1355" s="331"/>
    </row>
    <row r="1356" ht="15.75" customHeight="1">
      <c r="A1356" s="318"/>
      <c r="B1356" s="319"/>
      <c r="C1356" s="320"/>
      <c r="D1356" s="321"/>
      <c r="E1356" s="322"/>
      <c r="F1356" s="323"/>
      <c r="G1356" s="324"/>
      <c r="H1356" s="324"/>
      <c r="I1356" s="324"/>
      <c r="J1356" s="324"/>
    </row>
    <row r="1357" ht="15.75" customHeight="1">
      <c r="A1357" s="325"/>
      <c r="B1357" s="326"/>
      <c r="C1357" s="327"/>
      <c r="D1357" s="328"/>
      <c r="E1357" s="329"/>
      <c r="F1357" s="330"/>
      <c r="G1357" s="331"/>
      <c r="H1357" s="331"/>
      <c r="I1357" s="331"/>
      <c r="J1357" s="331"/>
    </row>
    <row r="1358" ht="15.75" customHeight="1">
      <c r="A1358" s="318"/>
      <c r="B1358" s="319"/>
      <c r="C1358" s="320"/>
      <c r="D1358" s="321"/>
      <c r="E1358" s="322"/>
      <c r="F1358" s="323"/>
      <c r="G1358" s="324"/>
      <c r="H1358" s="324"/>
      <c r="I1358" s="324"/>
      <c r="J1358" s="324"/>
    </row>
    <row r="1359" ht="15.75" customHeight="1">
      <c r="A1359" s="325"/>
      <c r="B1359" s="326"/>
      <c r="C1359" s="327"/>
      <c r="D1359" s="328"/>
      <c r="E1359" s="329"/>
      <c r="F1359" s="330"/>
      <c r="G1359" s="331"/>
      <c r="H1359" s="331"/>
      <c r="I1359" s="331"/>
      <c r="J1359" s="331"/>
    </row>
    <row r="1360" ht="15.75" customHeight="1">
      <c r="A1360" s="318"/>
      <c r="B1360" s="319"/>
      <c r="C1360" s="320"/>
      <c r="D1360" s="321"/>
      <c r="E1360" s="322"/>
      <c r="F1360" s="323"/>
      <c r="G1360" s="324"/>
      <c r="H1360" s="392"/>
      <c r="I1360" s="392"/>
      <c r="J1360" s="393"/>
    </row>
    <row r="1361" ht="15.75" customHeight="1">
      <c r="A1361" s="325"/>
      <c r="B1361" s="326"/>
      <c r="C1361" s="327"/>
      <c r="D1361" s="328"/>
      <c r="E1361" s="329"/>
      <c r="F1361" s="330"/>
      <c r="G1361" s="331"/>
      <c r="H1361" s="331"/>
      <c r="I1361" s="331"/>
      <c r="J1361" s="331"/>
    </row>
    <row r="1362" ht="6.0" customHeight="1">
      <c r="A1362" s="334"/>
      <c r="B1362" s="334"/>
      <c r="C1362" s="335"/>
      <c r="D1362" s="336"/>
      <c r="E1362" s="334"/>
      <c r="F1362" s="334"/>
      <c r="G1362" s="334"/>
      <c r="H1362" s="334"/>
      <c r="I1362" s="334"/>
      <c r="J1362" s="334"/>
    </row>
    <row r="1363" ht="24.0" customHeight="1">
      <c r="A1363" s="313" t="s">
        <v>527</v>
      </c>
      <c r="B1363" s="55"/>
      <c r="C1363" s="55"/>
      <c r="D1363" s="55"/>
      <c r="E1363" s="55"/>
      <c r="F1363" s="56"/>
      <c r="G1363" s="314"/>
      <c r="H1363" s="315">
        <f>SUM(D1364:D1393)</f>
        <v>0</v>
      </c>
      <c r="I1363" s="316"/>
      <c r="J1363" s="317" t="str">
        <f>IF(I1363&gt;0,H1363/I1363,"")</f>
        <v/>
      </c>
    </row>
    <row r="1364" ht="15.75" customHeight="1">
      <c r="A1364" s="337"/>
      <c r="B1364" s="338"/>
      <c r="C1364" s="339"/>
      <c r="D1364" s="340"/>
      <c r="E1364" s="341"/>
      <c r="F1364" s="342"/>
      <c r="G1364" s="343"/>
      <c r="H1364" s="343"/>
      <c r="I1364" s="343"/>
      <c r="J1364" s="343"/>
    </row>
    <row r="1365" ht="15.75" customHeight="1">
      <c r="A1365" s="344"/>
      <c r="B1365" s="345"/>
      <c r="C1365" s="346"/>
      <c r="D1365" s="347"/>
      <c r="E1365" s="348"/>
      <c r="F1365" s="349"/>
      <c r="G1365" s="350"/>
      <c r="H1365" s="350"/>
      <c r="I1365" s="350"/>
      <c r="J1365" s="350"/>
    </row>
    <row r="1366" ht="15.75" customHeight="1">
      <c r="A1366" s="337"/>
      <c r="B1366" s="338"/>
      <c r="C1366" s="339"/>
      <c r="D1366" s="340"/>
      <c r="E1366" s="341"/>
      <c r="F1366" s="342"/>
      <c r="G1366" s="343"/>
      <c r="H1366" s="343"/>
      <c r="I1366" s="343"/>
      <c r="J1366" s="343"/>
    </row>
    <row r="1367" ht="15.75" customHeight="1">
      <c r="A1367" s="344"/>
      <c r="B1367" s="345"/>
      <c r="C1367" s="346"/>
      <c r="D1367" s="347"/>
      <c r="E1367" s="348"/>
      <c r="F1367" s="349"/>
      <c r="G1367" s="350"/>
      <c r="H1367" s="350"/>
      <c r="I1367" s="350"/>
      <c r="J1367" s="350"/>
    </row>
    <row r="1368" ht="15.75" customHeight="1">
      <c r="A1368" s="337"/>
      <c r="B1368" s="338"/>
      <c r="C1368" s="339"/>
      <c r="D1368" s="340"/>
      <c r="E1368" s="341"/>
      <c r="F1368" s="342"/>
      <c r="G1368" s="343"/>
      <c r="H1368" s="343"/>
      <c r="I1368" s="343"/>
      <c r="J1368" s="343"/>
    </row>
    <row r="1369" ht="15.75" customHeight="1">
      <c r="A1369" s="344"/>
      <c r="B1369" s="345"/>
      <c r="C1369" s="346"/>
      <c r="D1369" s="347"/>
      <c r="E1369" s="348"/>
      <c r="F1369" s="349"/>
      <c r="G1369" s="350"/>
      <c r="H1369" s="350"/>
      <c r="I1369" s="350"/>
      <c r="J1369" s="350"/>
    </row>
    <row r="1370" ht="15.75" customHeight="1">
      <c r="A1370" s="337"/>
      <c r="B1370" s="338"/>
      <c r="C1370" s="339"/>
      <c r="D1370" s="340"/>
      <c r="E1370" s="341"/>
      <c r="F1370" s="342"/>
      <c r="G1370" s="343"/>
      <c r="H1370" s="343"/>
      <c r="I1370" s="343"/>
      <c r="J1370" s="343"/>
    </row>
    <row r="1371" ht="15.75" customHeight="1">
      <c r="A1371" s="344"/>
      <c r="B1371" s="345"/>
      <c r="C1371" s="346"/>
      <c r="D1371" s="347"/>
      <c r="E1371" s="348"/>
      <c r="F1371" s="349"/>
      <c r="G1371" s="350"/>
      <c r="H1371" s="350"/>
      <c r="I1371" s="350"/>
      <c r="J1371" s="350"/>
    </row>
    <row r="1372" ht="15.75" customHeight="1">
      <c r="A1372" s="337"/>
      <c r="B1372" s="338"/>
      <c r="C1372" s="339"/>
      <c r="D1372" s="340"/>
      <c r="E1372" s="341"/>
      <c r="F1372" s="342"/>
      <c r="G1372" s="343"/>
      <c r="H1372" s="343"/>
      <c r="I1372" s="343"/>
      <c r="J1372" s="343"/>
    </row>
    <row r="1373" ht="15.75" customHeight="1">
      <c r="A1373" s="344"/>
      <c r="B1373" s="345"/>
      <c r="C1373" s="346"/>
      <c r="D1373" s="347"/>
      <c r="E1373" s="348"/>
      <c r="F1373" s="349"/>
      <c r="G1373" s="350"/>
      <c r="H1373" s="350"/>
      <c r="I1373" s="350"/>
      <c r="J1373" s="350"/>
    </row>
    <row r="1374" ht="15.75" customHeight="1">
      <c r="A1374" s="337"/>
      <c r="B1374" s="338"/>
      <c r="C1374" s="339"/>
      <c r="D1374" s="340"/>
      <c r="E1374" s="341"/>
      <c r="F1374" s="342"/>
      <c r="G1374" s="343"/>
      <c r="H1374" s="343"/>
      <c r="I1374" s="343"/>
      <c r="J1374" s="343"/>
    </row>
    <row r="1375" ht="15.75" customHeight="1">
      <c r="A1375" s="344"/>
      <c r="B1375" s="345"/>
      <c r="C1375" s="346"/>
      <c r="D1375" s="347"/>
      <c r="E1375" s="348"/>
      <c r="F1375" s="349"/>
      <c r="G1375" s="350"/>
      <c r="H1375" s="350"/>
      <c r="I1375" s="350"/>
      <c r="J1375" s="350"/>
    </row>
    <row r="1376" ht="15.75" customHeight="1">
      <c r="A1376" s="337"/>
      <c r="B1376" s="338"/>
      <c r="C1376" s="339"/>
      <c r="D1376" s="340"/>
      <c r="E1376" s="341"/>
      <c r="F1376" s="342"/>
      <c r="G1376" s="343"/>
      <c r="H1376" s="343"/>
      <c r="I1376" s="343"/>
      <c r="J1376" s="343"/>
    </row>
    <row r="1377" ht="15.75" customHeight="1">
      <c r="A1377" s="344"/>
      <c r="B1377" s="345"/>
      <c r="C1377" s="346"/>
      <c r="D1377" s="347"/>
      <c r="E1377" s="348"/>
      <c r="F1377" s="349"/>
      <c r="G1377" s="350"/>
      <c r="H1377" s="350"/>
      <c r="I1377" s="350"/>
      <c r="J1377" s="350"/>
    </row>
    <row r="1378" ht="15.75" customHeight="1">
      <c r="A1378" s="337"/>
      <c r="B1378" s="338"/>
      <c r="C1378" s="339"/>
      <c r="D1378" s="340"/>
      <c r="E1378" s="341"/>
      <c r="F1378" s="342"/>
      <c r="G1378" s="343"/>
      <c r="H1378" s="343"/>
      <c r="I1378" s="343"/>
      <c r="J1378" s="343"/>
    </row>
    <row r="1379" ht="15.75" customHeight="1">
      <c r="A1379" s="344"/>
      <c r="B1379" s="345"/>
      <c r="C1379" s="346"/>
      <c r="D1379" s="347"/>
      <c r="E1379" s="348"/>
      <c r="F1379" s="349"/>
      <c r="G1379" s="350"/>
      <c r="H1379" s="350"/>
      <c r="I1379" s="350"/>
      <c r="J1379" s="350"/>
    </row>
    <row r="1380" ht="15.75" customHeight="1">
      <c r="A1380" s="337"/>
      <c r="B1380" s="338"/>
      <c r="C1380" s="339"/>
      <c r="D1380" s="340"/>
      <c r="E1380" s="341"/>
      <c r="F1380" s="342"/>
      <c r="G1380" s="343"/>
      <c r="H1380" s="343"/>
      <c r="I1380" s="343"/>
      <c r="J1380" s="343"/>
    </row>
    <row r="1381" ht="15.75" customHeight="1">
      <c r="A1381" s="344"/>
      <c r="B1381" s="345"/>
      <c r="C1381" s="346"/>
      <c r="D1381" s="347"/>
      <c r="E1381" s="348"/>
      <c r="F1381" s="349"/>
      <c r="G1381" s="350"/>
      <c r="H1381" s="350"/>
      <c r="I1381" s="350"/>
      <c r="J1381" s="350"/>
    </row>
    <row r="1382" ht="15.75" customHeight="1">
      <c r="A1382" s="337"/>
      <c r="B1382" s="338"/>
      <c r="C1382" s="339"/>
      <c r="D1382" s="340"/>
      <c r="E1382" s="341"/>
      <c r="F1382" s="342"/>
      <c r="G1382" s="343"/>
      <c r="H1382" s="343"/>
      <c r="I1382" s="343"/>
      <c r="J1382" s="343"/>
    </row>
    <row r="1383" ht="15.75" customHeight="1">
      <c r="A1383" s="344"/>
      <c r="B1383" s="345"/>
      <c r="C1383" s="346"/>
      <c r="D1383" s="347"/>
      <c r="E1383" s="348"/>
      <c r="F1383" s="349"/>
      <c r="G1383" s="350"/>
      <c r="H1383" s="350"/>
      <c r="I1383" s="350"/>
      <c r="J1383" s="350"/>
    </row>
    <row r="1384" ht="15.75" customHeight="1">
      <c r="A1384" s="337"/>
      <c r="B1384" s="338"/>
      <c r="C1384" s="339"/>
      <c r="D1384" s="340"/>
      <c r="E1384" s="341"/>
      <c r="F1384" s="342"/>
      <c r="G1384" s="343"/>
      <c r="H1384" s="343"/>
      <c r="I1384" s="343"/>
      <c r="J1384" s="343"/>
    </row>
    <row r="1385" ht="15.75" customHeight="1">
      <c r="A1385" s="344"/>
      <c r="B1385" s="345"/>
      <c r="C1385" s="346"/>
      <c r="D1385" s="347"/>
      <c r="E1385" s="348"/>
      <c r="F1385" s="349"/>
      <c r="G1385" s="350"/>
      <c r="H1385" s="350"/>
      <c r="I1385" s="350"/>
      <c r="J1385" s="350"/>
    </row>
    <row r="1386" ht="15.75" customHeight="1">
      <c r="A1386" s="337"/>
      <c r="B1386" s="338"/>
      <c r="C1386" s="339"/>
      <c r="D1386" s="340"/>
      <c r="E1386" s="341"/>
      <c r="F1386" s="342"/>
      <c r="G1386" s="343"/>
      <c r="H1386" s="343"/>
      <c r="I1386" s="343"/>
      <c r="J1386" s="343"/>
    </row>
    <row r="1387" ht="15.75" customHeight="1">
      <c r="A1387" s="344"/>
      <c r="B1387" s="345"/>
      <c r="C1387" s="346"/>
      <c r="D1387" s="347"/>
      <c r="E1387" s="348"/>
      <c r="F1387" s="349"/>
      <c r="G1387" s="350"/>
      <c r="H1387" s="350"/>
      <c r="I1387" s="350"/>
      <c r="J1387" s="350"/>
    </row>
    <row r="1388" ht="15.75" customHeight="1">
      <c r="A1388" s="337"/>
      <c r="B1388" s="338"/>
      <c r="C1388" s="339"/>
      <c r="D1388" s="340"/>
      <c r="E1388" s="341"/>
      <c r="F1388" s="342"/>
      <c r="G1388" s="343"/>
      <c r="H1388" s="343"/>
      <c r="I1388" s="343"/>
      <c r="J1388" s="343"/>
    </row>
    <row r="1389" ht="15.75" customHeight="1">
      <c r="A1389" s="344"/>
      <c r="B1389" s="345"/>
      <c r="C1389" s="346"/>
      <c r="D1389" s="347"/>
      <c r="E1389" s="348"/>
      <c r="F1389" s="349"/>
      <c r="G1389" s="350"/>
      <c r="H1389" s="350"/>
      <c r="I1389" s="350"/>
      <c r="J1389" s="350"/>
    </row>
    <row r="1390" ht="15.75" customHeight="1">
      <c r="A1390" s="337"/>
      <c r="B1390" s="338"/>
      <c r="C1390" s="339"/>
      <c r="D1390" s="340"/>
      <c r="E1390" s="341"/>
      <c r="F1390" s="342"/>
      <c r="G1390" s="343"/>
      <c r="H1390" s="343"/>
      <c r="I1390" s="343"/>
      <c r="J1390" s="343"/>
    </row>
    <row r="1391" ht="15.75" customHeight="1">
      <c r="A1391" s="344"/>
      <c r="B1391" s="345"/>
      <c r="C1391" s="346"/>
      <c r="D1391" s="347"/>
      <c r="E1391" s="348"/>
      <c r="F1391" s="349"/>
      <c r="G1391" s="350"/>
      <c r="H1391" s="350"/>
      <c r="I1391" s="350"/>
      <c r="J1391" s="350"/>
    </row>
    <row r="1392" ht="15.75" customHeight="1">
      <c r="A1392" s="337"/>
      <c r="B1392" s="338"/>
      <c r="C1392" s="339"/>
      <c r="D1392" s="340"/>
      <c r="E1392" s="341"/>
      <c r="F1392" s="342"/>
      <c r="G1392" s="343"/>
      <c r="H1392" s="410"/>
      <c r="I1392" s="410"/>
      <c r="J1392" s="411"/>
    </row>
    <row r="1393" ht="15.75" customHeight="1">
      <c r="A1393" s="344"/>
      <c r="B1393" s="345"/>
      <c r="C1393" s="346"/>
      <c r="D1393" s="347"/>
      <c r="E1393" s="348"/>
      <c r="F1393" s="349"/>
      <c r="G1393" s="350"/>
      <c r="H1393" s="350"/>
      <c r="I1393" s="350"/>
      <c r="J1393" s="350"/>
    </row>
    <row r="1394" ht="6.0" customHeight="1">
      <c r="A1394" s="334"/>
      <c r="B1394" s="334"/>
      <c r="C1394" s="335"/>
      <c r="D1394" s="336"/>
      <c r="E1394" s="334"/>
      <c r="F1394" s="334"/>
      <c r="G1394" s="334"/>
      <c r="H1394" s="334"/>
      <c r="I1394" s="334"/>
      <c r="J1394" s="334"/>
    </row>
    <row r="1395" ht="24.0" customHeight="1">
      <c r="A1395" s="313" t="s">
        <v>528</v>
      </c>
      <c r="B1395" s="55"/>
      <c r="C1395" s="55"/>
      <c r="D1395" s="55"/>
      <c r="E1395" s="55"/>
      <c r="F1395" s="56"/>
      <c r="G1395" s="314"/>
      <c r="H1395" s="315">
        <f>SUM(D1396:D1425)</f>
        <v>0</v>
      </c>
      <c r="I1395" s="316"/>
      <c r="J1395" s="317" t="str">
        <f>IF(I1395&gt;0,H1395/I1395,"")</f>
        <v/>
      </c>
    </row>
    <row r="1396" ht="15.75" customHeight="1">
      <c r="A1396" s="353"/>
      <c r="B1396" s="354"/>
      <c r="C1396" s="355"/>
      <c r="D1396" s="356"/>
      <c r="E1396" s="357"/>
      <c r="F1396" s="358"/>
      <c r="G1396" s="359"/>
      <c r="H1396" s="359"/>
      <c r="I1396" s="359"/>
      <c r="J1396" s="359"/>
    </row>
    <row r="1397" ht="15.75" customHeight="1">
      <c r="A1397" s="360"/>
      <c r="B1397" s="361"/>
      <c r="C1397" s="362"/>
      <c r="D1397" s="363"/>
      <c r="E1397" s="364"/>
      <c r="F1397" s="365"/>
      <c r="G1397" s="366"/>
      <c r="H1397" s="366"/>
      <c r="I1397" s="366"/>
      <c r="J1397" s="366"/>
    </row>
    <row r="1398" ht="15.75" customHeight="1">
      <c r="A1398" s="353"/>
      <c r="B1398" s="354"/>
      <c r="C1398" s="355"/>
      <c r="D1398" s="356"/>
      <c r="E1398" s="357"/>
      <c r="F1398" s="358"/>
      <c r="G1398" s="359"/>
      <c r="H1398" s="359"/>
      <c r="I1398" s="359"/>
      <c r="J1398" s="359"/>
    </row>
    <row r="1399" ht="15.75" customHeight="1">
      <c r="A1399" s="360"/>
      <c r="B1399" s="361"/>
      <c r="C1399" s="362"/>
      <c r="D1399" s="363"/>
      <c r="E1399" s="364"/>
      <c r="F1399" s="365"/>
      <c r="G1399" s="366"/>
      <c r="H1399" s="366"/>
      <c r="I1399" s="366"/>
      <c r="J1399" s="366"/>
    </row>
    <row r="1400" ht="15.75" customHeight="1">
      <c r="A1400" s="353"/>
      <c r="B1400" s="354"/>
      <c r="C1400" s="355"/>
      <c r="D1400" s="356"/>
      <c r="E1400" s="357"/>
      <c r="F1400" s="358"/>
      <c r="G1400" s="359"/>
      <c r="H1400" s="359"/>
      <c r="I1400" s="359"/>
      <c r="J1400" s="359"/>
    </row>
    <row r="1401" ht="15.75" customHeight="1">
      <c r="A1401" s="360"/>
      <c r="B1401" s="361"/>
      <c r="C1401" s="362"/>
      <c r="D1401" s="363"/>
      <c r="E1401" s="364"/>
      <c r="F1401" s="365"/>
      <c r="G1401" s="366"/>
      <c r="H1401" s="366"/>
      <c r="I1401" s="366"/>
      <c r="J1401" s="366"/>
    </row>
    <row r="1402" ht="15.75" customHeight="1">
      <c r="A1402" s="353"/>
      <c r="B1402" s="354"/>
      <c r="C1402" s="355"/>
      <c r="D1402" s="356"/>
      <c r="E1402" s="357"/>
      <c r="F1402" s="358"/>
      <c r="G1402" s="359"/>
      <c r="H1402" s="359"/>
      <c r="I1402" s="359"/>
      <c r="J1402" s="359"/>
    </row>
    <row r="1403" ht="15.75" customHeight="1">
      <c r="A1403" s="360"/>
      <c r="B1403" s="361"/>
      <c r="C1403" s="362"/>
      <c r="D1403" s="363"/>
      <c r="E1403" s="364"/>
      <c r="F1403" s="365"/>
      <c r="G1403" s="366"/>
      <c r="H1403" s="366"/>
      <c r="I1403" s="366"/>
      <c r="J1403" s="366"/>
    </row>
    <row r="1404" ht="15.75" customHeight="1">
      <c r="A1404" s="353"/>
      <c r="B1404" s="354"/>
      <c r="C1404" s="355"/>
      <c r="D1404" s="356"/>
      <c r="E1404" s="357"/>
      <c r="F1404" s="358"/>
      <c r="G1404" s="359"/>
      <c r="H1404" s="359"/>
      <c r="I1404" s="359"/>
      <c r="J1404" s="359"/>
    </row>
    <row r="1405" ht="15.75" customHeight="1">
      <c r="A1405" s="360"/>
      <c r="B1405" s="361"/>
      <c r="C1405" s="362"/>
      <c r="D1405" s="363"/>
      <c r="E1405" s="364"/>
      <c r="F1405" s="365"/>
      <c r="G1405" s="366"/>
      <c r="H1405" s="366"/>
      <c r="I1405" s="366"/>
      <c r="J1405" s="366"/>
    </row>
    <row r="1406" ht="15.75" customHeight="1">
      <c r="A1406" s="353"/>
      <c r="B1406" s="354"/>
      <c r="C1406" s="355"/>
      <c r="D1406" s="356"/>
      <c r="E1406" s="357"/>
      <c r="F1406" s="358"/>
      <c r="G1406" s="359"/>
      <c r="H1406" s="359"/>
      <c r="I1406" s="359"/>
      <c r="J1406" s="359"/>
    </row>
    <row r="1407" ht="15.75" customHeight="1">
      <c r="A1407" s="360"/>
      <c r="B1407" s="361"/>
      <c r="C1407" s="362"/>
      <c r="D1407" s="363"/>
      <c r="E1407" s="364"/>
      <c r="F1407" s="365"/>
      <c r="G1407" s="366"/>
      <c r="H1407" s="366"/>
      <c r="I1407" s="366"/>
      <c r="J1407" s="366"/>
    </row>
    <row r="1408" ht="15.75" customHeight="1">
      <c r="A1408" s="353"/>
      <c r="B1408" s="354"/>
      <c r="C1408" s="355"/>
      <c r="D1408" s="356"/>
      <c r="E1408" s="357"/>
      <c r="F1408" s="358"/>
      <c r="G1408" s="359"/>
      <c r="H1408" s="359"/>
      <c r="I1408" s="359"/>
      <c r="J1408" s="359"/>
    </row>
    <row r="1409" ht="15.75" customHeight="1">
      <c r="A1409" s="360"/>
      <c r="B1409" s="361"/>
      <c r="C1409" s="362"/>
      <c r="D1409" s="363"/>
      <c r="E1409" s="364"/>
      <c r="F1409" s="365"/>
      <c r="G1409" s="366"/>
      <c r="H1409" s="366"/>
      <c r="I1409" s="366"/>
      <c r="J1409" s="366"/>
    </row>
    <row r="1410" ht="15.75" customHeight="1">
      <c r="A1410" s="353"/>
      <c r="B1410" s="354"/>
      <c r="C1410" s="355"/>
      <c r="D1410" s="356"/>
      <c r="E1410" s="357"/>
      <c r="F1410" s="358"/>
      <c r="G1410" s="359"/>
      <c r="H1410" s="359"/>
      <c r="I1410" s="359"/>
      <c r="J1410" s="359"/>
    </row>
    <row r="1411" ht="15.75" customHeight="1">
      <c r="A1411" s="360"/>
      <c r="B1411" s="361"/>
      <c r="C1411" s="362"/>
      <c r="D1411" s="363"/>
      <c r="E1411" s="364"/>
      <c r="F1411" s="365"/>
      <c r="G1411" s="366"/>
      <c r="H1411" s="366"/>
      <c r="I1411" s="366"/>
      <c r="J1411" s="366"/>
    </row>
    <row r="1412" ht="15.75" customHeight="1">
      <c r="A1412" s="353"/>
      <c r="B1412" s="354"/>
      <c r="C1412" s="355"/>
      <c r="D1412" s="356"/>
      <c r="E1412" s="357"/>
      <c r="F1412" s="358"/>
      <c r="G1412" s="359"/>
      <c r="H1412" s="359"/>
      <c r="I1412" s="359"/>
      <c r="J1412" s="359"/>
    </row>
    <row r="1413" ht="15.75" customHeight="1">
      <c r="A1413" s="360"/>
      <c r="B1413" s="361"/>
      <c r="C1413" s="362"/>
      <c r="D1413" s="363"/>
      <c r="E1413" s="364"/>
      <c r="F1413" s="365"/>
      <c r="G1413" s="366"/>
      <c r="H1413" s="366"/>
      <c r="I1413" s="366"/>
      <c r="J1413" s="366"/>
    </row>
    <row r="1414" ht="15.75" customHeight="1">
      <c r="A1414" s="353"/>
      <c r="B1414" s="354"/>
      <c r="C1414" s="355"/>
      <c r="D1414" s="356"/>
      <c r="E1414" s="357"/>
      <c r="F1414" s="358"/>
      <c r="G1414" s="359"/>
      <c r="H1414" s="359"/>
      <c r="I1414" s="359"/>
      <c r="J1414" s="359"/>
    </row>
    <row r="1415" ht="15.75" customHeight="1">
      <c r="A1415" s="360"/>
      <c r="B1415" s="361"/>
      <c r="C1415" s="362"/>
      <c r="D1415" s="363"/>
      <c r="E1415" s="364"/>
      <c r="F1415" s="365"/>
      <c r="G1415" s="366"/>
      <c r="H1415" s="366"/>
      <c r="I1415" s="366"/>
      <c r="J1415" s="366"/>
    </row>
    <row r="1416" ht="15.75" customHeight="1">
      <c r="A1416" s="353"/>
      <c r="B1416" s="354"/>
      <c r="C1416" s="355"/>
      <c r="D1416" s="356"/>
      <c r="E1416" s="357"/>
      <c r="F1416" s="358"/>
      <c r="G1416" s="359"/>
      <c r="H1416" s="359"/>
      <c r="I1416" s="359"/>
      <c r="J1416" s="359"/>
    </row>
    <row r="1417" ht="15.75" customHeight="1">
      <c r="A1417" s="360"/>
      <c r="B1417" s="361"/>
      <c r="C1417" s="362"/>
      <c r="D1417" s="363"/>
      <c r="E1417" s="364"/>
      <c r="F1417" s="365"/>
      <c r="G1417" s="366"/>
      <c r="H1417" s="366"/>
      <c r="I1417" s="366"/>
      <c r="J1417" s="366"/>
    </row>
    <row r="1418" ht="15.75" customHeight="1">
      <c r="A1418" s="353"/>
      <c r="B1418" s="354"/>
      <c r="C1418" s="355"/>
      <c r="D1418" s="356"/>
      <c r="E1418" s="357"/>
      <c r="F1418" s="358"/>
      <c r="G1418" s="359"/>
      <c r="H1418" s="359"/>
      <c r="I1418" s="359"/>
      <c r="J1418" s="359"/>
    </row>
    <row r="1419" ht="15.75" customHeight="1">
      <c r="A1419" s="360"/>
      <c r="B1419" s="361"/>
      <c r="C1419" s="362"/>
      <c r="D1419" s="363"/>
      <c r="E1419" s="364"/>
      <c r="F1419" s="365"/>
      <c r="G1419" s="366"/>
      <c r="H1419" s="366"/>
      <c r="I1419" s="366"/>
      <c r="J1419" s="366"/>
    </row>
    <row r="1420" ht="15.75" customHeight="1">
      <c r="A1420" s="353"/>
      <c r="B1420" s="354"/>
      <c r="C1420" s="355"/>
      <c r="D1420" s="356"/>
      <c r="E1420" s="357"/>
      <c r="F1420" s="358"/>
      <c r="G1420" s="359"/>
      <c r="H1420" s="359"/>
      <c r="I1420" s="359"/>
      <c r="J1420" s="359"/>
    </row>
    <row r="1421" ht="15.75" customHeight="1">
      <c r="A1421" s="360"/>
      <c r="B1421" s="361"/>
      <c r="C1421" s="362"/>
      <c r="D1421" s="363"/>
      <c r="E1421" s="364"/>
      <c r="F1421" s="365"/>
      <c r="G1421" s="366"/>
      <c r="H1421" s="366"/>
      <c r="I1421" s="366"/>
      <c r="J1421" s="366"/>
    </row>
    <row r="1422" ht="15.75" customHeight="1">
      <c r="A1422" s="353"/>
      <c r="B1422" s="354"/>
      <c r="C1422" s="355"/>
      <c r="D1422" s="356"/>
      <c r="E1422" s="357"/>
      <c r="F1422" s="358"/>
      <c r="G1422" s="359"/>
      <c r="H1422" s="359"/>
      <c r="I1422" s="359"/>
      <c r="J1422" s="359"/>
    </row>
    <row r="1423" ht="15.75" customHeight="1">
      <c r="A1423" s="360"/>
      <c r="B1423" s="361"/>
      <c r="C1423" s="362"/>
      <c r="D1423" s="363"/>
      <c r="E1423" s="364"/>
      <c r="F1423" s="365"/>
      <c r="G1423" s="366"/>
      <c r="H1423" s="366"/>
      <c r="I1423" s="366"/>
      <c r="J1423" s="366"/>
    </row>
    <row r="1424" ht="15.75" customHeight="1">
      <c r="A1424" s="353"/>
      <c r="B1424" s="354"/>
      <c r="C1424" s="355"/>
      <c r="D1424" s="356"/>
      <c r="E1424" s="357"/>
      <c r="F1424" s="358"/>
      <c r="G1424" s="359"/>
      <c r="H1424" s="367"/>
      <c r="I1424" s="367"/>
      <c r="J1424" s="368"/>
    </row>
    <row r="1425" ht="15.75" customHeight="1">
      <c r="A1425" s="360"/>
      <c r="B1425" s="361"/>
      <c r="C1425" s="362"/>
      <c r="D1425" s="363"/>
      <c r="E1425" s="364"/>
      <c r="F1425" s="365"/>
      <c r="G1425" s="366"/>
      <c r="H1425" s="366"/>
      <c r="I1425" s="366"/>
      <c r="J1425" s="366"/>
    </row>
    <row r="1426" ht="6.0" customHeight="1">
      <c r="A1426" s="334"/>
      <c r="B1426" s="334"/>
      <c r="C1426" s="335"/>
      <c r="D1426" s="336"/>
      <c r="E1426" s="334"/>
      <c r="F1426" s="334"/>
      <c r="G1426" s="334"/>
      <c r="H1426" s="334"/>
      <c r="I1426" s="334"/>
      <c r="J1426" s="334"/>
    </row>
    <row r="1427" ht="24.0" customHeight="1">
      <c r="A1427" s="313" t="s">
        <v>529</v>
      </c>
      <c r="B1427" s="55"/>
      <c r="C1427" s="55"/>
      <c r="D1427" s="55"/>
      <c r="E1427" s="55"/>
      <c r="F1427" s="56"/>
      <c r="G1427" s="314"/>
      <c r="H1427" s="315">
        <f>SUM(D1428:D1457)</f>
        <v>0</v>
      </c>
      <c r="I1427" s="316"/>
      <c r="J1427" s="317" t="str">
        <f>IF(I1427&gt;0,H1427/I1427,"")</f>
        <v/>
      </c>
    </row>
    <row r="1428" ht="15.75" customHeight="1">
      <c r="A1428" s="369"/>
      <c r="B1428" s="370"/>
      <c r="C1428" s="371"/>
      <c r="D1428" s="372"/>
      <c r="E1428" s="373"/>
      <c r="F1428" s="374"/>
      <c r="G1428" s="375"/>
      <c r="H1428" s="375"/>
      <c r="I1428" s="375"/>
      <c r="J1428" s="375"/>
    </row>
    <row r="1429" ht="15.75" customHeight="1">
      <c r="A1429" s="376"/>
      <c r="B1429" s="377"/>
      <c r="C1429" s="378"/>
      <c r="D1429" s="379"/>
      <c r="E1429" s="380"/>
      <c r="F1429" s="381"/>
      <c r="G1429" s="382"/>
      <c r="H1429" s="382"/>
      <c r="I1429" s="382"/>
      <c r="J1429" s="382"/>
    </row>
    <row r="1430" ht="15.75" customHeight="1">
      <c r="A1430" s="369"/>
      <c r="B1430" s="370"/>
      <c r="C1430" s="371"/>
      <c r="D1430" s="372"/>
      <c r="E1430" s="373"/>
      <c r="F1430" s="374"/>
      <c r="G1430" s="375"/>
      <c r="H1430" s="375"/>
      <c r="I1430" s="375"/>
      <c r="J1430" s="375"/>
    </row>
    <row r="1431" ht="15.75" customHeight="1">
      <c r="A1431" s="376"/>
      <c r="B1431" s="377"/>
      <c r="C1431" s="378"/>
      <c r="D1431" s="379"/>
      <c r="E1431" s="380"/>
      <c r="F1431" s="381"/>
      <c r="G1431" s="382"/>
      <c r="H1431" s="382"/>
      <c r="I1431" s="382"/>
      <c r="J1431" s="382"/>
    </row>
    <row r="1432" ht="15.75" customHeight="1">
      <c r="A1432" s="369"/>
      <c r="B1432" s="370"/>
      <c r="C1432" s="371"/>
      <c r="D1432" s="372"/>
      <c r="E1432" s="373"/>
      <c r="F1432" s="374"/>
      <c r="G1432" s="375"/>
      <c r="H1432" s="375"/>
      <c r="I1432" s="375"/>
      <c r="J1432" s="375"/>
    </row>
    <row r="1433" ht="15.75" customHeight="1">
      <c r="A1433" s="376"/>
      <c r="B1433" s="377"/>
      <c r="C1433" s="378"/>
      <c r="D1433" s="379"/>
      <c r="E1433" s="380"/>
      <c r="F1433" s="381"/>
      <c r="G1433" s="382"/>
      <c r="H1433" s="382"/>
      <c r="I1433" s="382"/>
      <c r="J1433" s="382"/>
    </row>
    <row r="1434" ht="15.75" customHeight="1">
      <c r="A1434" s="369"/>
      <c r="B1434" s="370"/>
      <c r="C1434" s="371"/>
      <c r="D1434" s="372"/>
      <c r="E1434" s="373"/>
      <c r="F1434" s="374"/>
      <c r="G1434" s="375"/>
      <c r="H1434" s="375"/>
      <c r="I1434" s="375"/>
      <c r="J1434" s="375"/>
    </row>
    <row r="1435" ht="15.75" customHeight="1">
      <c r="A1435" s="376"/>
      <c r="B1435" s="377"/>
      <c r="C1435" s="378"/>
      <c r="D1435" s="379"/>
      <c r="E1435" s="380"/>
      <c r="F1435" s="381"/>
      <c r="G1435" s="382"/>
      <c r="H1435" s="382"/>
      <c r="I1435" s="382"/>
      <c r="J1435" s="382"/>
    </row>
    <row r="1436" ht="15.75" customHeight="1">
      <c r="A1436" s="369"/>
      <c r="B1436" s="370"/>
      <c r="C1436" s="371"/>
      <c r="D1436" s="372"/>
      <c r="E1436" s="373"/>
      <c r="F1436" s="374"/>
      <c r="G1436" s="375"/>
      <c r="H1436" s="375"/>
      <c r="I1436" s="375"/>
      <c r="J1436" s="375"/>
    </row>
    <row r="1437" ht="15.75" customHeight="1">
      <c r="A1437" s="376"/>
      <c r="B1437" s="377"/>
      <c r="C1437" s="378"/>
      <c r="D1437" s="379"/>
      <c r="E1437" s="380"/>
      <c r="F1437" s="381"/>
      <c r="G1437" s="382"/>
      <c r="H1437" s="382"/>
      <c r="I1437" s="382"/>
      <c r="J1437" s="382"/>
    </row>
    <row r="1438" ht="15.75" customHeight="1">
      <c r="A1438" s="369"/>
      <c r="B1438" s="370"/>
      <c r="C1438" s="371"/>
      <c r="D1438" s="372"/>
      <c r="E1438" s="373"/>
      <c r="F1438" s="374"/>
      <c r="G1438" s="375"/>
      <c r="H1438" s="375"/>
      <c r="I1438" s="375"/>
      <c r="J1438" s="375"/>
    </row>
    <row r="1439" ht="15.75" customHeight="1">
      <c r="A1439" s="376"/>
      <c r="B1439" s="377"/>
      <c r="C1439" s="378"/>
      <c r="D1439" s="379"/>
      <c r="E1439" s="380"/>
      <c r="F1439" s="381"/>
      <c r="G1439" s="382"/>
      <c r="H1439" s="382"/>
      <c r="I1439" s="382"/>
      <c r="J1439" s="382"/>
    </row>
    <row r="1440" ht="15.75" customHeight="1">
      <c r="A1440" s="369"/>
      <c r="B1440" s="370"/>
      <c r="C1440" s="371"/>
      <c r="D1440" s="372"/>
      <c r="E1440" s="373"/>
      <c r="F1440" s="374"/>
      <c r="G1440" s="375"/>
      <c r="H1440" s="375"/>
      <c r="I1440" s="375"/>
      <c r="J1440" s="375"/>
    </row>
    <row r="1441" ht="15.75" customHeight="1">
      <c r="A1441" s="376"/>
      <c r="B1441" s="377"/>
      <c r="C1441" s="378"/>
      <c r="D1441" s="379"/>
      <c r="E1441" s="380"/>
      <c r="F1441" s="381"/>
      <c r="G1441" s="382"/>
      <c r="H1441" s="382"/>
      <c r="I1441" s="382"/>
      <c r="J1441" s="382"/>
    </row>
    <row r="1442" ht="15.75" customHeight="1">
      <c r="A1442" s="369"/>
      <c r="B1442" s="370"/>
      <c r="C1442" s="371"/>
      <c r="D1442" s="372"/>
      <c r="E1442" s="373"/>
      <c r="F1442" s="374"/>
      <c r="G1442" s="375"/>
      <c r="H1442" s="375"/>
      <c r="I1442" s="375"/>
      <c r="J1442" s="375"/>
    </row>
    <row r="1443" ht="15.75" customHeight="1">
      <c r="A1443" s="376"/>
      <c r="B1443" s="377"/>
      <c r="C1443" s="378"/>
      <c r="D1443" s="379"/>
      <c r="E1443" s="380"/>
      <c r="F1443" s="381"/>
      <c r="G1443" s="382"/>
      <c r="H1443" s="382"/>
      <c r="I1443" s="382"/>
      <c r="J1443" s="382"/>
    </row>
    <row r="1444" ht="15.75" customHeight="1">
      <c r="A1444" s="369"/>
      <c r="B1444" s="370"/>
      <c r="C1444" s="371"/>
      <c r="D1444" s="372"/>
      <c r="E1444" s="373"/>
      <c r="F1444" s="374"/>
      <c r="G1444" s="375"/>
      <c r="H1444" s="375"/>
      <c r="I1444" s="375"/>
      <c r="J1444" s="375"/>
    </row>
    <row r="1445" ht="15.75" customHeight="1">
      <c r="A1445" s="376"/>
      <c r="B1445" s="377"/>
      <c r="C1445" s="378"/>
      <c r="D1445" s="379"/>
      <c r="E1445" s="380"/>
      <c r="F1445" s="381"/>
      <c r="G1445" s="382"/>
      <c r="H1445" s="382"/>
      <c r="I1445" s="382"/>
      <c r="J1445" s="382"/>
    </row>
    <row r="1446" ht="15.75" customHeight="1">
      <c r="A1446" s="369"/>
      <c r="B1446" s="370"/>
      <c r="C1446" s="371"/>
      <c r="D1446" s="372"/>
      <c r="E1446" s="373"/>
      <c r="F1446" s="374"/>
      <c r="G1446" s="375"/>
      <c r="H1446" s="375"/>
      <c r="I1446" s="375"/>
      <c r="J1446" s="375"/>
    </row>
    <row r="1447" ht="15.75" customHeight="1">
      <c r="A1447" s="376"/>
      <c r="B1447" s="377"/>
      <c r="C1447" s="378"/>
      <c r="D1447" s="379"/>
      <c r="E1447" s="380"/>
      <c r="F1447" s="381"/>
      <c r="G1447" s="382"/>
      <c r="H1447" s="382"/>
      <c r="I1447" s="382"/>
      <c r="J1447" s="382"/>
    </row>
    <row r="1448" ht="15.75" customHeight="1">
      <c r="A1448" s="369"/>
      <c r="B1448" s="370"/>
      <c r="C1448" s="371"/>
      <c r="D1448" s="372"/>
      <c r="E1448" s="373"/>
      <c r="F1448" s="374"/>
      <c r="G1448" s="375"/>
      <c r="H1448" s="375"/>
      <c r="I1448" s="375"/>
      <c r="J1448" s="375"/>
    </row>
    <row r="1449" ht="15.75" customHeight="1">
      <c r="A1449" s="376"/>
      <c r="B1449" s="377"/>
      <c r="C1449" s="378"/>
      <c r="D1449" s="379"/>
      <c r="E1449" s="380"/>
      <c r="F1449" s="381"/>
      <c r="G1449" s="382"/>
      <c r="H1449" s="382"/>
      <c r="I1449" s="382"/>
      <c r="J1449" s="382"/>
    </row>
    <row r="1450" ht="15.75" customHeight="1">
      <c r="A1450" s="369"/>
      <c r="B1450" s="370"/>
      <c r="C1450" s="371"/>
      <c r="D1450" s="372"/>
      <c r="E1450" s="373"/>
      <c r="F1450" s="374"/>
      <c r="G1450" s="375"/>
      <c r="H1450" s="375"/>
      <c r="I1450" s="375"/>
      <c r="J1450" s="375"/>
    </row>
    <row r="1451" ht="15.75" customHeight="1">
      <c r="A1451" s="376"/>
      <c r="B1451" s="377"/>
      <c r="C1451" s="378"/>
      <c r="D1451" s="379"/>
      <c r="E1451" s="380"/>
      <c r="F1451" s="381"/>
      <c r="G1451" s="382"/>
      <c r="H1451" s="382"/>
      <c r="I1451" s="382"/>
      <c r="J1451" s="382"/>
    </row>
    <row r="1452" ht="15.75" customHeight="1">
      <c r="A1452" s="369"/>
      <c r="B1452" s="370"/>
      <c r="C1452" s="371"/>
      <c r="D1452" s="372"/>
      <c r="E1452" s="373"/>
      <c r="F1452" s="374"/>
      <c r="G1452" s="375"/>
      <c r="H1452" s="375"/>
      <c r="I1452" s="375"/>
      <c r="J1452" s="375"/>
    </row>
    <row r="1453" ht="15.75" customHeight="1">
      <c r="A1453" s="376"/>
      <c r="B1453" s="377"/>
      <c r="C1453" s="378"/>
      <c r="D1453" s="379"/>
      <c r="E1453" s="380"/>
      <c r="F1453" s="381"/>
      <c r="G1453" s="382"/>
      <c r="H1453" s="382"/>
      <c r="I1453" s="382"/>
      <c r="J1453" s="382"/>
    </row>
    <row r="1454" ht="15.75" customHeight="1">
      <c r="A1454" s="369"/>
      <c r="B1454" s="370"/>
      <c r="C1454" s="371"/>
      <c r="D1454" s="372"/>
      <c r="E1454" s="373"/>
      <c r="F1454" s="374"/>
      <c r="G1454" s="375"/>
      <c r="H1454" s="375"/>
      <c r="I1454" s="375"/>
      <c r="J1454" s="375"/>
    </row>
    <row r="1455" ht="15.75" customHeight="1">
      <c r="A1455" s="376"/>
      <c r="B1455" s="377"/>
      <c r="C1455" s="378"/>
      <c r="D1455" s="379"/>
      <c r="E1455" s="380"/>
      <c r="F1455" s="381"/>
      <c r="G1455" s="382"/>
      <c r="H1455" s="382"/>
      <c r="I1455" s="382"/>
      <c r="J1455" s="382"/>
    </row>
    <row r="1456" ht="15.75" customHeight="1">
      <c r="A1456" s="369"/>
      <c r="B1456" s="370"/>
      <c r="C1456" s="371"/>
      <c r="D1456" s="372"/>
      <c r="E1456" s="373"/>
      <c r="F1456" s="374"/>
      <c r="G1456" s="375"/>
      <c r="H1456" s="414"/>
      <c r="I1456" s="414"/>
      <c r="J1456" s="415"/>
    </row>
    <row r="1457" ht="15.75" customHeight="1">
      <c r="A1457" s="376"/>
      <c r="B1457" s="377"/>
      <c r="C1457" s="378"/>
      <c r="D1457" s="379"/>
      <c r="E1457" s="380"/>
      <c r="F1457" s="381"/>
      <c r="G1457" s="382"/>
      <c r="H1457" s="382"/>
      <c r="I1457" s="382"/>
      <c r="J1457" s="382"/>
    </row>
    <row r="1458" ht="6.0" customHeight="1">
      <c r="A1458" s="334"/>
      <c r="B1458" s="334"/>
      <c r="C1458" s="335"/>
      <c r="D1458" s="336"/>
      <c r="E1458" s="334"/>
      <c r="F1458" s="334"/>
      <c r="G1458" s="334"/>
      <c r="H1458" s="334"/>
      <c r="I1458" s="334"/>
      <c r="J1458" s="334"/>
    </row>
    <row r="1459" ht="24.0" customHeight="1">
      <c r="A1459" s="313" t="s">
        <v>530</v>
      </c>
      <c r="B1459" s="55"/>
      <c r="C1459" s="55"/>
      <c r="D1459" s="55"/>
      <c r="E1459" s="55"/>
      <c r="F1459" s="56"/>
      <c r="G1459" s="314"/>
      <c r="H1459" s="315">
        <f>SUM(D1460:D1489)</f>
        <v>0</v>
      </c>
      <c r="I1459" s="316"/>
      <c r="J1459" s="317" t="str">
        <f>IF(I1459&gt;0,H1459/I1459,"")</f>
        <v/>
      </c>
    </row>
    <row r="1460" ht="15.75" customHeight="1">
      <c r="A1460" s="385"/>
      <c r="B1460" s="386"/>
      <c r="C1460" s="387"/>
      <c r="D1460" s="388"/>
      <c r="E1460" s="389"/>
      <c r="F1460" s="390"/>
      <c r="G1460" s="391"/>
      <c r="H1460" s="391"/>
      <c r="I1460" s="391"/>
      <c r="J1460" s="391"/>
    </row>
    <row r="1461" ht="15.75" customHeight="1">
      <c r="A1461" s="318"/>
      <c r="B1461" s="319"/>
      <c r="C1461" s="320"/>
      <c r="D1461" s="321"/>
      <c r="E1461" s="322"/>
      <c r="F1461" s="323"/>
      <c r="G1461" s="324"/>
      <c r="H1461" s="324"/>
      <c r="I1461" s="324"/>
      <c r="J1461" s="324"/>
    </row>
    <row r="1462" ht="15.75" customHeight="1">
      <c r="A1462" s="385"/>
      <c r="B1462" s="386"/>
      <c r="C1462" s="387"/>
      <c r="D1462" s="388"/>
      <c r="E1462" s="389"/>
      <c r="F1462" s="390"/>
      <c r="G1462" s="391"/>
      <c r="H1462" s="391"/>
      <c r="I1462" s="391"/>
      <c r="J1462" s="391"/>
    </row>
    <row r="1463" ht="15.75" customHeight="1">
      <c r="A1463" s="318"/>
      <c r="B1463" s="319"/>
      <c r="C1463" s="320"/>
      <c r="D1463" s="321"/>
      <c r="E1463" s="322"/>
      <c r="F1463" s="323"/>
      <c r="G1463" s="324"/>
      <c r="H1463" s="324"/>
      <c r="I1463" s="324"/>
      <c r="J1463" s="324"/>
    </row>
    <row r="1464" ht="15.75" customHeight="1">
      <c r="A1464" s="385"/>
      <c r="B1464" s="386"/>
      <c r="C1464" s="387"/>
      <c r="D1464" s="388"/>
      <c r="E1464" s="389"/>
      <c r="F1464" s="390"/>
      <c r="G1464" s="391"/>
      <c r="H1464" s="391"/>
      <c r="I1464" s="391"/>
      <c r="J1464" s="391"/>
    </row>
    <row r="1465" ht="15.75" customHeight="1">
      <c r="A1465" s="318"/>
      <c r="B1465" s="319"/>
      <c r="C1465" s="320"/>
      <c r="D1465" s="321"/>
      <c r="E1465" s="322"/>
      <c r="F1465" s="323"/>
      <c r="G1465" s="324"/>
      <c r="H1465" s="324"/>
      <c r="I1465" s="324"/>
      <c r="J1465" s="324"/>
    </row>
    <row r="1466" ht="15.75" customHeight="1">
      <c r="A1466" s="385"/>
      <c r="B1466" s="386"/>
      <c r="C1466" s="387"/>
      <c r="D1466" s="388"/>
      <c r="E1466" s="389"/>
      <c r="F1466" s="390"/>
      <c r="G1466" s="391"/>
      <c r="H1466" s="391"/>
      <c r="I1466" s="391"/>
      <c r="J1466" s="391"/>
    </row>
    <row r="1467" ht="15.75" customHeight="1">
      <c r="A1467" s="318"/>
      <c r="B1467" s="319"/>
      <c r="C1467" s="320"/>
      <c r="D1467" s="321"/>
      <c r="E1467" s="322"/>
      <c r="F1467" s="323"/>
      <c r="G1467" s="324"/>
      <c r="H1467" s="324"/>
      <c r="I1467" s="324"/>
      <c r="J1467" s="324"/>
    </row>
    <row r="1468" ht="15.75" customHeight="1">
      <c r="A1468" s="385"/>
      <c r="B1468" s="386"/>
      <c r="C1468" s="387"/>
      <c r="D1468" s="388"/>
      <c r="E1468" s="389"/>
      <c r="F1468" s="390"/>
      <c r="G1468" s="391"/>
      <c r="H1468" s="391"/>
      <c r="I1468" s="391"/>
      <c r="J1468" s="391"/>
    </row>
    <row r="1469" ht="15.75" customHeight="1">
      <c r="A1469" s="318"/>
      <c r="B1469" s="319"/>
      <c r="C1469" s="320"/>
      <c r="D1469" s="321"/>
      <c r="E1469" s="322"/>
      <c r="F1469" s="323"/>
      <c r="G1469" s="324"/>
      <c r="H1469" s="324"/>
      <c r="I1469" s="324"/>
      <c r="J1469" s="324"/>
    </row>
    <row r="1470" ht="15.75" customHeight="1">
      <c r="A1470" s="385"/>
      <c r="B1470" s="386"/>
      <c r="C1470" s="387"/>
      <c r="D1470" s="388"/>
      <c r="E1470" s="389"/>
      <c r="F1470" s="390"/>
      <c r="G1470" s="391"/>
      <c r="H1470" s="391"/>
      <c r="I1470" s="391"/>
      <c r="J1470" s="391"/>
    </row>
    <row r="1471" ht="15.75" customHeight="1">
      <c r="A1471" s="318"/>
      <c r="B1471" s="319"/>
      <c r="C1471" s="320"/>
      <c r="D1471" s="321"/>
      <c r="E1471" s="322"/>
      <c r="F1471" s="323"/>
      <c r="G1471" s="324"/>
      <c r="H1471" s="324"/>
      <c r="I1471" s="324"/>
      <c r="J1471" s="324"/>
    </row>
    <row r="1472" ht="15.75" customHeight="1">
      <c r="A1472" s="385"/>
      <c r="B1472" s="386"/>
      <c r="C1472" s="387"/>
      <c r="D1472" s="388"/>
      <c r="E1472" s="389"/>
      <c r="F1472" s="390"/>
      <c r="G1472" s="391"/>
      <c r="H1472" s="391"/>
      <c r="I1472" s="391"/>
      <c r="J1472" s="391"/>
    </row>
    <row r="1473" ht="15.75" customHeight="1">
      <c r="A1473" s="318"/>
      <c r="B1473" s="319"/>
      <c r="C1473" s="320"/>
      <c r="D1473" s="321"/>
      <c r="E1473" s="322"/>
      <c r="F1473" s="323"/>
      <c r="G1473" s="324"/>
      <c r="H1473" s="324"/>
      <c r="I1473" s="324"/>
      <c r="J1473" s="324"/>
    </row>
    <row r="1474" ht="15.75" customHeight="1">
      <c r="A1474" s="385"/>
      <c r="B1474" s="386"/>
      <c r="C1474" s="387"/>
      <c r="D1474" s="388"/>
      <c r="E1474" s="389"/>
      <c r="F1474" s="390"/>
      <c r="G1474" s="391"/>
      <c r="H1474" s="391"/>
      <c r="I1474" s="391"/>
      <c r="J1474" s="391"/>
    </row>
    <row r="1475" ht="15.75" customHeight="1">
      <c r="A1475" s="318"/>
      <c r="B1475" s="319"/>
      <c r="C1475" s="320"/>
      <c r="D1475" s="321"/>
      <c r="E1475" s="322"/>
      <c r="F1475" s="323"/>
      <c r="G1475" s="324"/>
      <c r="H1475" s="324"/>
      <c r="I1475" s="324"/>
      <c r="J1475" s="324"/>
    </row>
    <row r="1476" ht="15.75" customHeight="1">
      <c r="A1476" s="385"/>
      <c r="B1476" s="386"/>
      <c r="C1476" s="387"/>
      <c r="D1476" s="388"/>
      <c r="E1476" s="389"/>
      <c r="F1476" s="390"/>
      <c r="G1476" s="391"/>
      <c r="H1476" s="391"/>
      <c r="I1476" s="391"/>
      <c r="J1476" s="391"/>
    </row>
    <row r="1477" ht="15.75" customHeight="1">
      <c r="A1477" s="318"/>
      <c r="B1477" s="319"/>
      <c r="C1477" s="320"/>
      <c r="D1477" s="321"/>
      <c r="E1477" s="322"/>
      <c r="F1477" s="323"/>
      <c r="G1477" s="324"/>
      <c r="H1477" s="324"/>
      <c r="I1477" s="324"/>
      <c r="J1477" s="324"/>
    </row>
    <row r="1478" ht="15.75" customHeight="1">
      <c r="A1478" s="385"/>
      <c r="B1478" s="386"/>
      <c r="C1478" s="387"/>
      <c r="D1478" s="388"/>
      <c r="E1478" s="389"/>
      <c r="F1478" s="390"/>
      <c r="G1478" s="391"/>
      <c r="H1478" s="391"/>
      <c r="I1478" s="391"/>
      <c r="J1478" s="391"/>
    </row>
    <row r="1479" ht="15.75" customHeight="1">
      <c r="A1479" s="318"/>
      <c r="B1479" s="319"/>
      <c r="C1479" s="320"/>
      <c r="D1479" s="321"/>
      <c r="E1479" s="322"/>
      <c r="F1479" s="323"/>
      <c r="G1479" s="324"/>
      <c r="H1479" s="324"/>
      <c r="I1479" s="324"/>
      <c r="J1479" s="324"/>
    </row>
    <row r="1480" ht="15.75" customHeight="1">
      <c r="A1480" s="385"/>
      <c r="B1480" s="386"/>
      <c r="C1480" s="387"/>
      <c r="D1480" s="388"/>
      <c r="E1480" s="389"/>
      <c r="F1480" s="390"/>
      <c r="G1480" s="391"/>
      <c r="H1480" s="391"/>
      <c r="I1480" s="391"/>
      <c r="J1480" s="391"/>
    </row>
    <row r="1481" ht="15.75" customHeight="1">
      <c r="A1481" s="318"/>
      <c r="B1481" s="319"/>
      <c r="C1481" s="320"/>
      <c r="D1481" s="321"/>
      <c r="E1481" s="322"/>
      <c r="F1481" s="323"/>
      <c r="G1481" s="324"/>
      <c r="H1481" s="324"/>
      <c r="I1481" s="324"/>
      <c r="J1481" s="324"/>
    </row>
    <row r="1482" ht="15.75" customHeight="1">
      <c r="A1482" s="385"/>
      <c r="B1482" s="386"/>
      <c r="C1482" s="387"/>
      <c r="D1482" s="388"/>
      <c r="E1482" s="389"/>
      <c r="F1482" s="390"/>
      <c r="G1482" s="391"/>
      <c r="H1482" s="391"/>
      <c r="I1482" s="391"/>
      <c r="J1482" s="391"/>
    </row>
    <row r="1483" ht="15.75" customHeight="1">
      <c r="A1483" s="318"/>
      <c r="B1483" s="319"/>
      <c r="C1483" s="320"/>
      <c r="D1483" s="321"/>
      <c r="E1483" s="322"/>
      <c r="F1483" s="323"/>
      <c r="G1483" s="324"/>
      <c r="H1483" s="324"/>
      <c r="I1483" s="324"/>
      <c r="J1483" s="324"/>
    </row>
    <row r="1484" ht="15.75" customHeight="1">
      <c r="A1484" s="385"/>
      <c r="B1484" s="386"/>
      <c r="C1484" s="387"/>
      <c r="D1484" s="388"/>
      <c r="E1484" s="389"/>
      <c r="F1484" s="390"/>
      <c r="G1484" s="391"/>
      <c r="H1484" s="391"/>
      <c r="I1484" s="391"/>
      <c r="J1484" s="391"/>
    </row>
    <row r="1485" ht="15.75" customHeight="1">
      <c r="A1485" s="318"/>
      <c r="B1485" s="319"/>
      <c r="C1485" s="320"/>
      <c r="D1485" s="321"/>
      <c r="E1485" s="322"/>
      <c r="F1485" s="323"/>
      <c r="G1485" s="324"/>
      <c r="H1485" s="324"/>
      <c r="I1485" s="324"/>
      <c r="J1485" s="324"/>
    </row>
    <row r="1486" ht="15.75" customHeight="1">
      <c r="A1486" s="385"/>
      <c r="B1486" s="386"/>
      <c r="C1486" s="387"/>
      <c r="D1486" s="388"/>
      <c r="E1486" s="389"/>
      <c r="F1486" s="390"/>
      <c r="G1486" s="391"/>
      <c r="H1486" s="391"/>
      <c r="I1486" s="391"/>
      <c r="J1486" s="391"/>
    </row>
    <row r="1487" ht="15.75" customHeight="1">
      <c r="A1487" s="318"/>
      <c r="B1487" s="319"/>
      <c r="C1487" s="320"/>
      <c r="D1487" s="321"/>
      <c r="E1487" s="322"/>
      <c r="F1487" s="323"/>
      <c r="G1487" s="324"/>
      <c r="H1487" s="324"/>
      <c r="I1487" s="324"/>
      <c r="J1487" s="324"/>
    </row>
    <row r="1488" ht="15.75" customHeight="1">
      <c r="A1488" s="385"/>
      <c r="B1488" s="386"/>
      <c r="C1488" s="387"/>
      <c r="D1488" s="388"/>
      <c r="E1488" s="389"/>
      <c r="F1488" s="390"/>
      <c r="G1488" s="391"/>
      <c r="H1488" s="418"/>
      <c r="I1488" s="418"/>
      <c r="J1488" s="419"/>
    </row>
    <row r="1489" ht="15.75" customHeight="1">
      <c r="A1489" s="318"/>
      <c r="B1489" s="319"/>
      <c r="C1489" s="320"/>
      <c r="D1489" s="321"/>
      <c r="E1489" s="322"/>
      <c r="F1489" s="323"/>
      <c r="G1489" s="324"/>
      <c r="H1489" s="324"/>
      <c r="I1489" s="324"/>
      <c r="J1489" s="324"/>
    </row>
    <row r="1490" ht="6.0" customHeight="1">
      <c r="A1490" s="334"/>
      <c r="B1490" s="334"/>
      <c r="C1490" s="335"/>
      <c r="D1490" s="336"/>
      <c r="E1490" s="334"/>
      <c r="F1490" s="334"/>
      <c r="G1490" s="334"/>
      <c r="H1490" s="334"/>
      <c r="I1490" s="334"/>
      <c r="J1490" s="334"/>
    </row>
    <row r="1491" ht="24.0" customHeight="1">
      <c r="A1491" s="313" t="s">
        <v>531</v>
      </c>
      <c r="B1491" s="55"/>
      <c r="C1491" s="55"/>
      <c r="D1491" s="55"/>
      <c r="E1491" s="55"/>
      <c r="F1491" s="56"/>
      <c r="G1491" s="314"/>
      <c r="H1491" s="315">
        <f>SUM(D1492:D1521)</f>
        <v>0</v>
      </c>
      <c r="I1491" s="316"/>
      <c r="J1491" s="317" t="str">
        <f>IF(I1491&gt;0,H1491/I1491,"")</f>
        <v/>
      </c>
    </row>
    <row r="1492" ht="15.75" customHeight="1">
      <c r="A1492" s="394"/>
      <c r="B1492" s="395"/>
      <c r="C1492" s="396"/>
      <c r="D1492" s="397"/>
      <c r="E1492" s="398"/>
      <c r="F1492" s="399"/>
      <c r="G1492" s="400"/>
      <c r="H1492" s="400"/>
      <c r="I1492" s="400"/>
      <c r="J1492" s="400"/>
    </row>
    <row r="1493" ht="15.75" customHeight="1">
      <c r="A1493" s="401"/>
      <c r="B1493" s="402"/>
      <c r="C1493" s="403"/>
      <c r="D1493" s="404"/>
      <c r="E1493" s="405"/>
      <c r="F1493" s="406"/>
      <c r="G1493" s="407"/>
      <c r="H1493" s="407"/>
      <c r="I1493" s="407"/>
      <c r="J1493" s="407"/>
    </row>
    <row r="1494" ht="15.75" customHeight="1">
      <c r="A1494" s="394"/>
      <c r="B1494" s="395"/>
      <c r="C1494" s="396"/>
      <c r="D1494" s="397"/>
      <c r="E1494" s="398"/>
      <c r="F1494" s="399"/>
      <c r="G1494" s="400"/>
      <c r="H1494" s="400"/>
      <c r="I1494" s="400"/>
      <c r="J1494" s="400"/>
    </row>
    <row r="1495" ht="15.75" customHeight="1">
      <c r="A1495" s="401"/>
      <c r="B1495" s="402"/>
      <c r="C1495" s="403"/>
      <c r="D1495" s="404"/>
      <c r="E1495" s="405"/>
      <c r="F1495" s="406"/>
      <c r="G1495" s="407"/>
      <c r="H1495" s="407"/>
      <c r="I1495" s="407"/>
      <c r="J1495" s="407"/>
    </row>
    <row r="1496" ht="15.75" customHeight="1">
      <c r="A1496" s="394"/>
      <c r="B1496" s="395"/>
      <c r="C1496" s="396"/>
      <c r="D1496" s="397"/>
      <c r="E1496" s="398"/>
      <c r="F1496" s="399"/>
      <c r="G1496" s="400"/>
      <c r="H1496" s="400"/>
      <c r="I1496" s="400"/>
      <c r="J1496" s="400"/>
    </row>
    <row r="1497" ht="15.75" customHeight="1">
      <c r="A1497" s="401"/>
      <c r="B1497" s="402"/>
      <c r="C1497" s="403"/>
      <c r="D1497" s="404"/>
      <c r="E1497" s="405"/>
      <c r="F1497" s="406"/>
      <c r="G1497" s="407"/>
      <c r="H1497" s="407"/>
      <c r="I1497" s="407"/>
      <c r="J1497" s="407"/>
    </row>
    <row r="1498" ht="15.75" customHeight="1">
      <c r="A1498" s="394"/>
      <c r="B1498" s="395"/>
      <c r="C1498" s="396"/>
      <c r="D1498" s="397"/>
      <c r="E1498" s="398"/>
      <c r="F1498" s="399"/>
      <c r="G1498" s="400"/>
      <c r="H1498" s="400"/>
      <c r="I1498" s="400"/>
      <c r="J1498" s="400"/>
    </row>
    <row r="1499" ht="15.75" customHeight="1">
      <c r="A1499" s="401"/>
      <c r="B1499" s="402"/>
      <c r="C1499" s="403"/>
      <c r="D1499" s="404"/>
      <c r="E1499" s="405"/>
      <c r="F1499" s="406"/>
      <c r="G1499" s="407"/>
      <c r="H1499" s="407"/>
      <c r="I1499" s="407"/>
      <c r="J1499" s="407"/>
    </row>
    <row r="1500" ht="15.75" customHeight="1">
      <c r="A1500" s="394"/>
      <c r="B1500" s="395"/>
      <c r="C1500" s="396"/>
      <c r="D1500" s="397"/>
      <c r="E1500" s="398"/>
      <c r="F1500" s="399"/>
      <c r="G1500" s="400"/>
      <c r="H1500" s="400"/>
      <c r="I1500" s="400"/>
      <c r="J1500" s="400"/>
    </row>
    <row r="1501" ht="15.75" customHeight="1">
      <c r="A1501" s="401"/>
      <c r="B1501" s="402"/>
      <c r="C1501" s="403"/>
      <c r="D1501" s="404"/>
      <c r="E1501" s="405"/>
      <c r="F1501" s="406"/>
      <c r="G1501" s="407"/>
      <c r="H1501" s="407"/>
      <c r="I1501" s="407"/>
      <c r="J1501" s="407"/>
    </row>
    <row r="1502" ht="15.75" customHeight="1">
      <c r="A1502" s="394"/>
      <c r="B1502" s="395"/>
      <c r="C1502" s="396"/>
      <c r="D1502" s="397"/>
      <c r="E1502" s="398"/>
      <c r="F1502" s="399"/>
      <c r="G1502" s="400"/>
      <c r="H1502" s="400"/>
      <c r="I1502" s="400"/>
      <c r="J1502" s="400"/>
    </row>
    <row r="1503" ht="15.75" customHeight="1">
      <c r="A1503" s="401"/>
      <c r="B1503" s="402"/>
      <c r="C1503" s="403"/>
      <c r="D1503" s="404"/>
      <c r="E1503" s="405"/>
      <c r="F1503" s="406"/>
      <c r="G1503" s="407"/>
      <c r="H1503" s="407"/>
      <c r="I1503" s="407"/>
      <c r="J1503" s="407"/>
    </row>
    <row r="1504" ht="15.75" customHeight="1">
      <c r="A1504" s="394"/>
      <c r="B1504" s="395"/>
      <c r="C1504" s="396"/>
      <c r="D1504" s="397"/>
      <c r="E1504" s="398"/>
      <c r="F1504" s="399"/>
      <c r="G1504" s="400"/>
      <c r="H1504" s="400"/>
      <c r="I1504" s="400"/>
      <c r="J1504" s="400"/>
    </row>
    <row r="1505" ht="15.75" customHeight="1">
      <c r="A1505" s="401"/>
      <c r="B1505" s="402"/>
      <c r="C1505" s="403"/>
      <c r="D1505" s="404"/>
      <c r="E1505" s="405"/>
      <c r="F1505" s="406"/>
      <c r="G1505" s="407"/>
      <c r="H1505" s="407"/>
      <c r="I1505" s="407"/>
      <c r="J1505" s="407"/>
    </row>
    <row r="1506" ht="15.75" customHeight="1">
      <c r="A1506" s="394"/>
      <c r="B1506" s="395"/>
      <c r="C1506" s="396"/>
      <c r="D1506" s="397"/>
      <c r="E1506" s="398"/>
      <c r="F1506" s="399"/>
      <c r="G1506" s="400"/>
      <c r="H1506" s="400"/>
      <c r="I1506" s="400"/>
      <c r="J1506" s="400"/>
    </row>
    <row r="1507" ht="15.75" customHeight="1">
      <c r="A1507" s="401"/>
      <c r="B1507" s="402"/>
      <c r="C1507" s="403"/>
      <c r="D1507" s="404"/>
      <c r="E1507" s="405"/>
      <c r="F1507" s="406"/>
      <c r="G1507" s="407"/>
      <c r="H1507" s="407"/>
      <c r="I1507" s="407"/>
      <c r="J1507" s="407"/>
    </row>
    <row r="1508" ht="15.75" customHeight="1">
      <c r="A1508" s="394"/>
      <c r="B1508" s="395"/>
      <c r="C1508" s="396"/>
      <c r="D1508" s="397"/>
      <c r="E1508" s="398"/>
      <c r="F1508" s="399"/>
      <c r="G1508" s="400"/>
      <c r="H1508" s="400"/>
      <c r="I1508" s="400"/>
      <c r="J1508" s="400"/>
    </row>
    <row r="1509" ht="15.75" customHeight="1">
      <c r="A1509" s="401"/>
      <c r="B1509" s="402"/>
      <c r="C1509" s="403"/>
      <c r="D1509" s="404"/>
      <c r="E1509" s="405"/>
      <c r="F1509" s="406"/>
      <c r="G1509" s="407"/>
      <c r="H1509" s="407"/>
      <c r="I1509" s="407"/>
      <c r="J1509" s="407"/>
    </row>
    <row r="1510" ht="15.75" customHeight="1">
      <c r="A1510" s="394"/>
      <c r="B1510" s="395"/>
      <c r="C1510" s="396"/>
      <c r="D1510" s="397"/>
      <c r="E1510" s="398"/>
      <c r="F1510" s="399"/>
      <c r="G1510" s="400"/>
      <c r="H1510" s="400"/>
      <c r="I1510" s="400"/>
      <c r="J1510" s="400"/>
    </row>
    <row r="1511" ht="15.75" customHeight="1">
      <c r="A1511" s="401"/>
      <c r="B1511" s="402"/>
      <c r="C1511" s="403"/>
      <c r="D1511" s="404"/>
      <c r="E1511" s="405"/>
      <c r="F1511" s="406"/>
      <c r="G1511" s="407"/>
      <c r="H1511" s="407"/>
      <c r="I1511" s="407"/>
      <c r="J1511" s="407"/>
    </row>
    <row r="1512" ht="15.75" customHeight="1">
      <c r="A1512" s="394"/>
      <c r="B1512" s="395"/>
      <c r="C1512" s="396"/>
      <c r="D1512" s="397"/>
      <c r="E1512" s="398"/>
      <c r="F1512" s="399"/>
      <c r="G1512" s="400"/>
      <c r="H1512" s="400"/>
      <c r="I1512" s="400"/>
      <c r="J1512" s="400"/>
    </row>
    <row r="1513" ht="15.75" customHeight="1">
      <c r="A1513" s="401"/>
      <c r="B1513" s="402"/>
      <c r="C1513" s="403"/>
      <c r="D1513" s="404"/>
      <c r="E1513" s="405"/>
      <c r="F1513" s="406"/>
      <c r="G1513" s="407"/>
      <c r="H1513" s="407"/>
      <c r="I1513" s="407"/>
      <c r="J1513" s="407"/>
    </row>
    <row r="1514" ht="15.75" customHeight="1">
      <c r="A1514" s="394"/>
      <c r="B1514" s="395"/>
      <c r="C1514" s="396"/>
      <c r="D1514" s="397"/>
      <c r="E1514" s="398"/>
      <c r="F1514" s="399"/>
      <c r="G1514" s="400"/>
      <c r="H1514" s="400"/>
      <c r="I1514" s="400"/>
      <c r="J1514" s="400"/>
    </row>
    <row r="1515" ht="15.75" customHeight="1">
      <c r="A1515" s="401"/>
      <c r="B1515" s="402"/>
      <c r="C1515" s="403"/>
      <c r="D1515" s="404"/>
      <c r="E1515" s="405"/>
      <c r="F1515" s="406"/>
      <c r="G1515" s="407"/>
      <c r="H1515" s="407"/>
      <c r="I1515" s="407"/>
      <c r="J1515" s="407"/>
    </row>
    <row r="1516" ht="15.75" customHeight="1">
      <c r="A1516" s="394"/>
      <c r="B1516" s="395"/>
      <c r="C1516" s="396"/>
      <c r="D1516" s="397"/>
      <c r="E1516" s="398"/>
      <c r="F1516" s="399"/>
      <c r="G1516" s="400"/>
      <c r="H1516" s="400"/>
      <c r="I1516" s="400"/>
      <c r="J1516" s="400"/>
    </row>
    <row r="1517" ht="15.75" customHeight="1">
      <c r="A1517" s="401"/>
      <c r="B1517" s="402"/>
      <c r="C1517" s="403"/>
      <c r="D1517" s="404"/>
      <c r="E1517" s="405"/>
      <c r="F1517" s="406"/>
      <c r="G1517" s="407"/>
      <c r="H1517" s="407"/>
      <c r="I1517" s="407"/>
      <c r="J1517" s="407"/>
    </row>
    <row r="1518" ht="15.75" customHeight="1">
      <c r="A1518" s="394"/>
      <c r="B1518" s="395"/>
      <c r="C1518" s="396"/>
      <c r="D1518" s="397"/>
      <c r="E1518" s="398"/>
      <c r="F1518" s="399"/>
      <c r="G1518" s="400"/>
      <c r="H1518" s="400"/>
      <c r="I1518" s="400"/>
      <c r="J1518" s="400"/>
    </row>
    <row r="1519" ht="15.75" customHeight="1">
      <c r="A1519" s="401"/>
      <c r="B1519" s="402"/>
      <c r="C1519" s="403"/>
      <c r="D1519" s="404"/>
      <c r="E1519" s="405"/>
      <c r="F1519" s="406"/>
      <c r="G1519" s="407"/>
      <c r="H1519" s="407"/>
      <c r="I1519" s="407"/>
      <c r="J1519" s="407"/>
    </row>
    <row r="1520" ht="15.75" customHeight="1">
      <c r="A1520" s="394"/>
      <c r="B1520" s="395"/>
      <c r="C1520" s="396"/>
      <c r="D1520" s="397"/>
      <c r="E1520" s="398"/>
      <c r="F1520" s="399"/>
      <c r="G1520" s="400"/>
      <c r="H1520" s="408"/>
      <c r="I1520" s="408"/>
      <c r="J1520" s="409"/>
    </row>
    <row r="1521" ht="15.75" customHeight="1">
      <c r="A1521" s="401"/>
      <c r="B1521" s="402"/>
      <c r="C1521" s="403"/>
      <c r="D1521" s="404"/>
      <c r="E1521" s="405"/>
      <c r="F1521" s="406"/>
      <c r="G1521" s="407"/>
      <c r="H1521" s="407"/>
      <c r="I1521" s="407"/>
      <c r="J1521" s="407"/>
    </row>
    <row r="1522" ht="6.0" customHeight="1">
      <c r="A1522" s="334"/>
      <c r="B1522" s="334"/>
      <c r="C1522" s="335"/>
      <c r="D1522" s="336"/>
      <c r="E1522" s="334"/>
      <c r="F1522" s="334"/>
      <c r="G1522" s="334"/>
      <c r="H1522" s="334"/>
      <c r="I1522" s="334"/>
      <c r="J1522" s="334"/>
    </row>
    <row r="1523" ht="24.0" customHeight="1">
      <c r="A1523" s="313" t="s">
        <v>532</v>
      </c>
      <c r="B1523" s="55"/>
      <c r="C1523" s="55"/>
      <c r="D1523" s="55"/>
      <c r="E1523" s="55"/>
      <c r="F1523" s="56"/>
      <c r="G1523" s="314"/>
      <c r="H1523" s="315">
        <f>SUM(D1524:D1553)</f>
        <v>0</v>
      </c>
      <c r="I1523" s="316"/>
      <c r="J1523" s="317" t="str">
        <f>IF(I1523&gt;0,H1523/I1523,"")</f>
        <v/>
      </c>
    </row>
    <row r="1524" ht="15.75" customHeight="1">
      <c r="A1524" s="318"/>
      <c r="B1524" s="319"/>
      <c r="C1524" s="320"/>
      <c r="D1524" s="321"/>
      <c r="E1524" s="322"/>
      <c r="F1524" s="323"/>
      <c r="G1524" s="324"/>
      <c r="H1524" s="324"/>
      <c r="I1524" s="324"/>
      <c r="J1524" s="324"/>
    </row>
    <row r="1525" ht="15.75" customHeight="1">
      <c r="A1525" s="325"/>
      <c r="B1525" s="326"/>
      <c r="C1525" s="327"/>
      <c r="D1525" s="328"/>
      <c r="E1525" s="329"/>
      <c r="F1525" s="330"/>
      <c r="G1525" s="331"/>
      <c r="H1525" s="331"/>
      <c r="I1525" s="331"/>
      <c r="J1525" s="331"/>
    </row>
    <row r="1526" ht="15.75" customHeight="1">
      <c r="A1526" s="318"/>
      <c r="B1526" s="319"/>
      <c r="C1526" s="320"/>
      <c r="D1526" s="321"/>
      <c r="E1526" s="322"/>
      <c r="F1526" s="323"/>
      <c r="G1526" s="324"/>
      <c r="H1526" s="324"/>
      <c r="I1526" s="324"/>
      <c r="J1526" s="324"/>
    </row>
    <row r="1527" ht="15.75" customHeight="1">
      <c r="A1527" s="325"/>
      <c r="B1527" s="326"/>
      <c r="C1527" s="327"/>
      <c r="D1527" s="328"/>
      <c r="E1527" s="329"/>
      <c r="F1527" s="330"/>
      <c r="G1527" s="331"/>
      <c r="H1527" s="331"/>
      <c r="I1527" s="331"/>
      <c r="J1527" s="331"/>
    </row>
    <row r="1528" ht="15.75" customHeight="1">
      <c r="A1528" s="318"/>
      <c r="B1528" s="319"/>
      <c r="C1528" s="320"/>
      <c r="D1528" s="321"/>
      <c r="E1528" s="322"/>
      <c r="F1528" s="323"/>
      <c r="G1528" s="324"/>
      <c r="H1528" s="324"/>
      <c r="I1528" s="324"/>
      <c r="J1528" s="324"/>
    </row>
    <row r="1529" ht="15.75" customHeight="1">
      <c r="A1529" s="325"/>
      <c r="B1529" s="326"/>
      <c r="C1529" s="327"/>
      <c r="D1529" s="328"/>
      <c r="E1529" s="329"/>
      <c r="F1529" s="330"/>
      <c r="G1529" s="331"/>
      <c r="H1529" s="331"/>
      <c r="I1529" s="331"/>
      <c r="J1529" s="331"/>
    </row>
    <row r="1530" ht="15.75" customHeight="1">
      <c r="A1530" s="318"/>
      <c r="B1530" s="319"/>
      <c r="C1530" s="320"/>
      <c r="D1530" s="321"/>
      <c r="E1530" s="322"/>
      <c r="F1530" s="323"/>
      <c r="G1530" s="324"/>
      <c r="H1530" s="324"/>
      <c r="I1530" s="324"/>
      <c r="J1530" s="324"/>
    </row>
    <row r="1531" ht="15.75" customHeight="1">
      <c r="A1531" s="325"/>
      <c r="B1531" s="326"/>
      <c r="C1531" s="327"/>
      <c r="D1531" s="328"/>
      <c r="E1531" s="329"/>
      <c r="F1531" s="330"/>
      <c r="G1531" s="331"/>
      <c r="H1531" s="331"/>
      <c r="I1531" s="331"/>
      <c r="J1531" s="331"/>
    </row>
    <row r="1532" ht="15.75" customHeight="1">
      <c r="A1532" s="318"/>
      <c r="B1532" s="319"/>
      <c r="C1532" s="320"/>
      <c r="D1532" s="321"/>
      <c r="E1532" s="322"/>
      <c r="F1532" s="323"/>
      <c r="G1532" s="324"/>
      <c r="H1532" s="324"/>
      <c r="I1532" s="324"/>
      <c r="J1532" s="324"/>
    </row>
    <row r="1533" ht="15.75" customHeight="1">
      <c r="A1533" s="325"/>
      <c r="B1533" s="326"/>
      <c r="C1533" s="327"/>
      <c r="D1533" s="328"/>
      <c r="E1533" s="329"/>
      <c r="F1533" s="330"/>
      <c r="G1533" s="331"/>
      <c r="H1533" s="331"/>
      <c r="I1533" s="331"/>
      <c r="J1533" s="331"/>
    </row>
    <row r="1534" ht="15.75" customHeight="1">
      <c r="A1534" s="318"/>
      <c r="B1534" s="319"/>
      <c r="C1534" s="320"/>
      <c r="D1534" s="321"/>
      <c r="E1534" s="322"/>
      <c r="F1534" s="323"/>
      <c r="G1534" s="324"/>
      <c r="H1534" s="324"/>
      <c r="I1534" s="324"/>
      <c r="J1534" s="324"/>
    </row>
    <row r="1535" ht="15.75" customHeight="1">
      <c r="A1535" s="325"/>
      <c r="B1535" s="326"/>
      <c r="C1535" s="327"/>
      <c r="D1535" s="328"/>
      <c r="E1535" s="329"/>
      <c r="F1535" s="330"/>
      <c r="G1535" s="331"/>
      <c r="H1535" s="331"/>
      <c r="I1535" s="331"/>
      <c r="J1535" s="331"/>
    </row>
    <row r="1536" ht="15.75" customHeight="1">
      <c r="A1536" s="318"/>
      <c r="B1536" s="319"/>
      <c r="C1536" s="320"/>
      <c r="D1536" s="321"/>
      <c r="E1536" s="322"/>
      <c r="F1536" s="323"/>
      <c r="G1536" s="324"/>
      <c r="H1536" s="324"/>
      <c r="I1536" s="324"/>
      <c r="J1536" s="324"/>
    </row>
    <row r="1537" ht="15.75" customHeight="1">
      <c r="A1537" s="325"/>
      <c r="B1537" s="326"/>
      <c r="C1537" s="327"/>
      <c r="D1537" s="328"/>
      <c r="E1537" s="329"/>
      <c r="F1537" s="330"/>
      <c r="G1537" s="331"/>
      <c r="H1537" s="331"/>
      <c r="I1537" s="331"/>
      <c r="J1537" s="331"/>
    </row>
    <row r="1538" ht="15.75" customHeight="1">
      <c r="A1538" s="318"/>
      <c r="B1538" s="319"/>
      <c r="C1538" s="320"/>
      <c r="D1538" s="321"/>
      <c r="E1538" s="322"/>
      <c r="F1538" s="323"/>
      <c r="G1538" s="324"/>
      <c r="H1538" s="324"/>
      <c r="I1538" s="324"/>
      <c r="J1538" s="324"/>
    </row>
    <row r="1539" ht="15.75" customHeight="1">
      <c r="A1539" s="325"/>
      <c r="B1539" s="326"/>
      <c r="C1539" s="327"/>
      <c r="D1539" s="328"/>
      <c r="E1539" s="329"/>
      <c r="F1539" s="330"/>
      <c r="G1539" s="331"/>
      <c r="H1539" s="331"/>
      <c r="I1539" s="331"/>
      <c r="J1539" s="331"/>
    </row>
    <row r="1540" ht="15.75" customHeight="1">
      <c r="A1540" s="318"/>
      <c r="B1540" s="319"/>
      <c r="C1540" s="320"/>
      <c r="D1540" s="321"/>
      <c r="E1540" s="322"/>
      <c r="F1540" s="323"/>
      <c r="G1540" s="324"/>
      <c r="H1540" s="324"/>
      <c r="I1540" s="324"/>
      <c r="J1540" s="324"/>
    </row>
    <row r="1541" ht="15.75" customHeight="1">
      <c r="A1541" s="325"/>
      <c r="B1541" s="326"/>
      <c r="C1541" s="327"/>
      <c r="D1541" s="328"/>
      <c r="E1541" s="329"/>
      <c r="F1541" s="330"/>
      <c r="G1541" s="331"/>
      <c r="H1541" s="331"/>
      <c r="I1541" s="331"/>
      <c r="J1541" s="331"/>
    </row>
    <row r="1542" ht="15.75" customHeight="1">
      <c r="A1542" s="318"/>
      <c r="B1542" s="319"/>
      <c r="C1542" s="320"/>
      <c r="D1542" s="321"/>
      <c r="E1542" s="322"/>
      <c r="F1542" s="323"/>
      <c r="G1542" s="324"/>
      <c r="H1542" s="324"/>
      <c r="I1542" s="324"/>
      <c r="J1542" s="324"/>
    </row>
    <row r="1543" ht="15.75" customHeight="1">
      <c r="A1543" s="325"/>
      <c r="B1543" s="326"/>
      <c r="C1543" s="327"/>
      <c r="D1543" s="328"/>
      <c r="E1543" s="329"/>
      <c r="F1543" s="330"/>
      <c r="G1543" s="331"/>
      <c r="H1543" s="331"/>
      <c r="I1543" s="331"/>
      <c r="J1543" s="331"/>
    </row>
    <row r="1544" ht="15.75" customHeight="1">
      <c r="A1544" s="318"/>
      <c r="B1544" s="319"/>
      <c r="C1544" s="320"/>
      <c r="D1544" s="321"/>
      <c r="E1544" s="322"/>
      <c r="F1544" s="323"/>
      <c r="G1544" s="324"/>
      <c r="H1544" s="324"/>
      <c r="I1544" s="324"/>
      <c r="J1544" s="324"/>
    </row>
    <row r="1545" ht="15.75" customHeight="1">
      <c r="A1545" s="325"/>
      <c r="B1545" s="326"/>
      <c r="C1545" s="327"/>
      <c r="D1545" s="328"/>
      <c r="E1545" s="329"/>
      <c r="F1545" s="330"/>
      <c r="G1545" s="331"/>
      <c r="H1545" s="331"/>
      <c r="I1545" s="331"/>
      <c r="J1545" s="331"/>
    </row>
    <row r="1546" ht="15.75" customHeight="1">
      <c r="A1546" s="318"/>
      <c r="B1546" s="319"/>
      <c r="C1546" s="320"/>
      <c r="D1546" s="321"/>
      <c r="E1546" s="322"/>
      <c r="F1546" s="323"/>
      <c r="G1546" s="324"/>
      <c r="H1546" s="324"/>
      <c r="I1546" s="324"/>
      <c r="J1546" s="324"/>
    </row>
    <row r="1547" ht="15.75" customHeight="1">
      <c r="A1547" s="325"/>
      <c r="B1547" s="326"/>
      <c r="C1547" s="327"/>
      <c r="D1547" s="328"/>
      <c r="E1547" s="329"/>
      <c r="F1547" s="330"/>
      <c r="G1547" s="331"/>
      <c r="H1547" s="331"/>
      <c r="I1547" s="331"/>
      <c r="J1547" s="331"/>
    </row>
    <row r="1548" ht="15.75" customHeight="1">
      <c r="A1548" s="318"/>
      <c r="B1548" s="319"/>
      <c r="C1548" s="320"/>
      <c r="D1548" s="321"/>
      <c r="E1548" s="322"/>
      <c r="F1548" s="323"/>
      <c r="G1548" s="324"/>
      <c r="H1548" s="324"/>
      <c r="I1548" s="324"/>
      <c r="J1548" s="324"/>
    </row>
    <row r="1549" ht="15.75" customHeight="1">
      <c r="A1549" s="325"/>
      <c r="B1549" s="326"/>
      <c r="C1549" s="327"/>
      <c r="D1549" s="328"/>
      <c r="E1549" s="329"/>
      <c r="F1549" s="330"/>
      <c r="G1549" s="331"/>
      <c r="H1549" s="331"/>
      <c r="I1549" s="331"/>
      <c r="J1549" s="331"/>
    </row>
    <row r="1550" ht="15.75" customHeight="1">
      <c r="A1550" s="318"/>
      <c r="B1550" s="319"/>
      <c r="C1550" s="320"/>
      <c r="D1550" s="321"/>
      <c r="E1550" s="322"/>
      <c r="F1550" s="323"/>
      <c r="G1550" s="324"/>
      <c r="H1550" s="324"/>
      <c r="I1550" s="324"/>
      <c r="J1550" s="324"/>
    </row>
    <row r="1551" ht="15.75" customHeight="1">
      <c r="A1551" s="325"/>
      <c r="B1551" s="326"/>
      <c r="C1551" s="327"/>
      <c r="D1551" s="328"/>
      <c r="E1551" s="329"/>
      <c r="F1551" s="330"/>
      <c r="G1551" s="331"/>
      <c r="H1551" s="331"/>
      <c r="I1551" s="331"/>
      <c r="J1551" s="331"/>
    </row>
    <row r="1552" ht="15.75" customHeight="1">
      <c r="A1552" s="318"/>
      <c r="B1552" s="319"/>
      <c r="C1552" s="320"/>
      <c r="D1552" s="321"/>
      <c r="E1552" s="322"/>
      <c r="F1552" s="323"/>
      <c r="G1552" s="324"/>
      <c r="H1552" s="392"/>
      <c r="I1552" s="392"/>
      <c r="J1552" s="393"/>
    </row>
    <row r="1553" ht="15.75" customHeight="1">
      <c r="A1553" s="325"/>
      <c r="B1553" s="326"/>
      <c r="C1553" s="327"/>
      <c r="D1553" s="328"/>
      <c r="E1553" s="329"/>
      <c r="F1553" s="330"/>
      <c r="G1553" s="331"/>
      <c r="H1553" s="331"/>
      <c r="I1553" s="331"/>
      <c r="J1553" s="331"/>
    </row>
    <row r="1554" ht="6.0" customHeight="1">
      <c r="A1554" s="334"/>
      <c r="B1554" s="334"/>
      <c r="C1554" s="335"/>
      <c r="D1554" s="336"/>
      <c r="E1554" s="334"/>
      <c r="F1554" s="334"/>
      <c r="G1554" s="334"/>
      <c r="H1554" s="334"/>
      <c r="I1554" s="334"/>
      <c r="J1554" s="334"/>
    </row>
    <row r="1555" ht="24.0" customHeight="1">
      <c r="A1555" s="313" t="s">
        <v>533</v>
      </c>
      <c r="B1555" s="55"/>
      <c r="C1555" s="55"/>
      <c r="D1555" s="55"/>
      <c r="E1555" s="55"/>
      <c r="F1555" s="56"/>
      <c r="G1555" s="314"/>
      <c r="H1555" s="315">
        <f>SUM(D1556:D1585)</f>
        <v>0</v>
      </c>
      <c r="I1555" s="316"/>
      <c r="J1555" s="317" t="str">
        <f>IF(I1555&gt;0,H1555/I1555,"")</f>
        <v/>
      </c>
    </row>
    <row r="1556" ht="15.75" customHeight="1">
      <c r="A1556" s="337"/>
      <c r="B1556" s="338"/>
      <c r="C1556" s="339"/>
      <c r="D1556" s="340"/>
      <c r="E1556" s="341"/>
      <c r="F1556" s="342"/>
      <c r="G1556" s="343"/>
      <c r="H1556" s="343"/>
      <c r="I1556" s="343"/>
      <c r="J1556" s="343"/>
    </row>
    <row r="1557" ht="15.75" customHeight="1">
      <c r="A1557" s="344"/>
      <c r="B1557" s="345"/>
      <c r="C1557" s="346"/>
      <c r="D1557" s="347"/>
      <c r="E1557" s="348"/>
      <c r="F1557" s="349"/>
      <c r="G1557" s="350"/>
      <c r="H1557" s="350"/>
      <c r="I1557" s="350"/>
      <c r="J1557" s="350"/>
    </row>
    <row r="1558" ht="15.75" customHeight="1">
      <c r="A1558" s="337"/>
      <c r="B1558" s="338"/>
      <c r="C1558" s="339"/>
      <c r="D1558" s="340"/>
      <c r="E1558" s="341"/>
      <c r="F1558" s="342"/>
      <c r="G1558" s="343"/>
      <c r="H1558" s="343"/>
      <c r="I1558" s="343"/>
      <c r="J1558" s="343"/>
    </row>
    <row r="1559" ht="15.75" customHeight="1">
      <c r="A1559" s="344"/>
      <c r="B1559" s="345"/>
      <c r="C1559" s="346"/>
      <c r="D1559" s="347"/>
      <c r="E1559" s="348"/>
      <c r="F1559" s="349"/>
      <c r="G1559" s="350"/>
      <c r="H1559" s="350"/>
      <c r="I1559" s="350"/>
      <c r="J1559" s="350"/>
    </row>
    <row r="1560" ht="15.75" customHeight="1">
      <c r="A1560" s="337"/>
      <c r="B1560" s="338"/>
      <c r="C1560" s="339"/>
      <c r="D1560" s="340"/>
      <c r="E1560" s="341"/>
      <c r="F1560" s="342"/>
      <c r="G1560" s="343"/>
      <c r="H1560" s="343"/>
      <c r="I1560" s="343"/>
      <c r="J1560" s="343"/>
    </row>
    <row r="1561" ht="15.75" customHeight="1">
      <c r="A1561" s="344"/>
      <c r="B1561" s="345"/>
      <c r="C1561" s="346"/>
      <c r="D1561" s="347"/>
      <c r="E1561" s="348"/>
      <c r="F1561" s="349"/>
      <c r="G1561" s="350"/>
      <c r="H1561" s="350"/>
      <c r="I1561" s="350"/>
      <c r="J1561" s="350"/>
    </row>
    <row r="1562" ht="15.75" customHeight="1">
      <c r="A1562" s="337"/>
      <c r="B1562" s="338"/>
      <c r="C1562" s="339"/>
      <c r="D1562" s="340"/>
      <c r="E1562" s="341"/>
      <c r="F1562" s="342"/>
      <c r="G1562" s="343"/>
      <c r="H1562" s="343"/>
      <c r="I1562" s="343"/>
      <c r="J1562" s="343"/>
    </row>
    <row r="1563" ht="15.75" customHeight="1">
      <c r="A1563" s="344"/>
      <c r="B1563" s="345"/>
      <c r="C1563" s="346"/>
      <c r="D1563" s="347"/>
      <c r="E1563" s="348"/>
      <c r="F1563" s="349"/>
      <c r="G1563" s="350"/>
      <c r="H1563" s="350"/>
      <c r="I1563" s="350"/>
      <c r="J1563" s="350"/>
    </row>
    <row r="1564" ht="15.75" customHeight="1">
      <c r="A1564" s="337"/>
      <c r="B1564" s="338"/>
      <c r="C1564" s="339"/>
      <c r="D1564" s="340"/>
      <c r="E1564" s="341"/>
      <c r="F1564" s="342"/>
      <c r="G1564" s="343"/>
      <c r="H1564" s="343"/>
      <c r="I1564" s="343"/>
      <c r="J1564" s="343"/>
    </row>
    <row r="1565" ht="15.75" customHeight="1">
      <c r="A1565" s="344"/>
      <c r="B1565" s="345"/>
      <c r="C1565" s="346"/>
      <c r="D1565" s="347"/>
      <c r="E1565" s="348"/>
      <c r="F1565" s="349"/>
      <c r="G1565" s="350"/>
      <c r="H1565" s="350"/>
      <c r="I1565" s="350"/>
      <c r="J1565" s="350"/>
    </row>
    <row r="1566" ht="15.75" customHeight="1">
      <c r="A1566" s="337"/>
      <c r="B1566" s="338"/>
      <c r="C1566" s="339"/>
      <c r="D1566" s="340"/>
      <c r="E1566" s="341"/>
      <c r="F1566" s="342"/>
      <c r="G1566" s="343"/>
      <c r="H1566" s="343"/>
      <c r="I1566" s="343"/>
      <c r="J1566" s="343"/>
    </row>
    <row r="1567" ht="15.75" customHeight="1">
      <c r="A1567" s="344"/>
      <c r="B1567" s="345"/>
      <c r="C1567" s="346"/>
      <c r="D1567" s="347"/>
      <c r="E1567" s="348"/>
      <c r="F1567" s="349"/>
      <c r="G1567" s="350"/>
      <c r="H1567" s="350"/>
      <c r="I1567" s="350"/>
      <c r="J1567" s="350"/>
    </row>
    <row r="1568" ht="15.75" customHeight="1">
      <c r="A1568" s="337"/>
      <c r="B1568" s="338"/>
      <c r="C1568" s="339"/>
      <c r="D1568" s="340"/>
      <c r="E1568" s="341"/>
      <c r="F1568" s="342"/>
      <c r="G1568" s="343"/>
      <c r="H1568" s="343"/>
      <c r="I1568" s="343"/>
      <c r="J1568" s="343"/>
    </row>
    <row r="1569" ht="15.75" customHeight="1">
      <c r="A1569" s="344"/>
      <c r="B1569" s="345"/>
      <c r="C1569" s="346"/>
      <c r="D1569" s="347"/>
      <c r="E1569" s="348"/>
      <c r="F1569" s="349"/>
      <c r="G1569" s="350"/>
      <c r="H1569" s="350"/>
      <c r="I1569" s="350"/>
      <c r="J1569" s="350"/>
    </row>
    <row r="1570" ht="15.75" customHeight="1">
      <c r="A1570" s="337"/>
      <c r="B1570" s="338"/>
      <c r="C1570" s="339"/>
      <c r="D1570" s="340"/>
      <c r="E1570" s="341"/>
      <c r="F1570" s="342"/>
      <c r="G1570" s="343"/>
      <c r="H1570" s="343"/>
      <c r="I1570" s="343"/>
      <c r="J1570" s="343"/>
    </row>
    <row r="1571" ht="15.75" customHeight="1">
      <c r="A1571" s="344"/>
      <c r="B1571" s="345"/>
      <c r="C1571" s="346"/>
      <c r="D1571" s="347"/>
      <c r="E1571" s="348"/>
      <c r="F1571" s="349"/>
      <c r="G1571" s="350"/>
      <c r="H1571" s="350"/>
      <c r="I1571" s="350"/>
      <c r="J1571" s="350"/>
    </row>
    <row r="1572" ht="15.75" customHeight="1">
      <c r="A1572" s="337"/>
      <c r="B1572" s="338"/>
      <c r="C1572" s="339"/>
      <c r="D1572" s="340"/>
      <c r="E1572" s="341"/>
      <c r="F1572" s="342"/>
      <c r="G1572" s="343"/>
      <c r="H1572" s="343"/>
      <c r="I1572" s="343"/>
      <c r="J1572" s="343"/>
    </row>
    <row r="1573" ht="15.75" customHeight="1">
      <c r="A1573" s="344"/>
      <c r="B1573" s="345"/>
      <c r="C1573" s="346"/>
      <c r="D1573" s="347"/>
      <c r="E1573" s="348"/>
      <c r="F1573" s="349"/>
      <c r="G1573" s="350"/>
      <c r="H1573" s="350"/>
      <c r="I1573" s="350"/>
      <c r="J1573" s="350"/>
    </row>
    <row r="1574" ht="15.75" customHeight="1">
      <c r="A1574" s="337"/>
      <c r="B1574" s="338"/>
      <c r="C1574" s="339"/>
      <c r="D1574" s="340"/>
      <c r="E1574" s="341"/>
      <c r="F1574" s="342"/>
      <c r="G1574" s="343"/>
      <c r="H1574" s="343"/>
      <c r="I1574" s="343"/>
      <c r="J1574" s="343"/>
    </row>
    <row r="1575" ht="15.75" customHeight="1">
      <c r="A1575" s="344"/>
      <c r="B1575" s="345"/>
      <c r="C1575" s="346"/>
      <c r="D1575" s="347"/>
      <c r="E1575" s="348"/>
      <c r="F1575" s="349"/>
      <c r="G1575" s="350"/>
      <c r="H1575" s="350"/>
      <c r="I1575" s="350"/>
      <c r="J1575" s="350"/>
    </row>
    <row r="1576" ht="15.75" customHeight="1">
      <c r="A1576" s="337"/>
      <c r="B1576" s="338"/>
      <c r="C1576" s="339"/>
      <c r="D1576" s="340"/>
      <c r="E1576" s="341"/>
      <c r="F1576" s="342"/>
      <c r="G1576" s="343"/>
      <c r="H1576" s="343"/>
      <c r="I1576" s="343"/>
      <c r="J1576" s="343"/>
    </row>
    <row r="1577" ht="15.75" customHeight="1">
      <c r="A1577" s="344"/>
      <c r="B1577" s="345"/>
      <c r="C1577" s="346"/>
      <c r="D1577" s="347"/>
      <c r="E1577" s="348"/>
      <c r="F1577" s="349"/>
      <c r="G1577" s="350"/>
      <c r="H1577" s="350"/>
      <c r="I1577" s="350"/>
      <c r="J1577" s="350"/>
    </row>
    <row r="1578" ht="15.75" customHeight="1">
      <c r="A1578" s="337"/>
      <c r="B1578" s="338"/>
      <c r="C1578" s="339"/>
      <c r="D1578" s="340"/>
      <c r="E1578" s="341"/>
      <c r="F1578" s="342"/>
      <c r="G1578" s="343"/>
      <c r="H1578" s="343"/>
      <c r="I1578" s="343"/>
      <c r="J1578" s="343"/>
    </row>
    <row r="1579" ht="15.75" customHeight="1">
      <c r="A1579" s="344"/>
      <c r="B1579" s="345"/>
      <c r="C1579" s="346"/>
      <c r="D1579" s="347"/>
      <c r="E1579" s="348"/>
      <c r="F1579" s="349"/>
      <c r="G1579" s="350"/>
      <c r="H1579" s="350"/>
      <c r="I1579" s="350"/>
      <c r="J1579" s="350"/>
    </row>
    <row r="1580" ht="15.75" customHeight="1">
      <c r="A1580" s="337"/>
      <c r="B1580" s="338"/>
      <c r="C1580" s="339"/>
      <c r="D1580" s="340"/>
      <c r="E1580" s="341"/>
      <c r="F1580" s="342"/>
      <c r="G1580" s="343"/>
      <c r="H1580" s="343"/>
      <c r="I1580" s="343"/>
      <c r="J1580" s="343"/>
    </row>
    <row r="1581" ht="15.75" customHeight="1">
      <c r="A1581" s="344"/>
      <c r="B1581" s="345"/>
      <c r="C1581" s="346"/>
      <c r="D1581" s="347"/>
      <c r="E1581" s="348"/>
      <c r="F1581" s="349"/>
      <c r="G1581" s="350"/>
      <c r="H1581" s="350"/>
      <c r="I1581" s="350"/>
      <c r="J1581" s="350"/>
    </row>
    <row r="1582" ht="15.75" customHeight="1">
      <c r="A1582" s="337"/>
      <c r="B1582" s="338"/>
      <c r="C1582" s="339"/>
      <c r="D1582" s="340"/>
      <c r="E1582" s="341"/>
      <c r="F1582" s="342"/>
      <c r="G1582" s="343"/>
      <c r="H1582" s="343"/>
      <c r="I1582" s="343"/>
      <c r="J1582" s="343"/>
    </row>
    <row r="1583" ht="15.75" customHeight="1">
      <c r="A1583" s="344"/>
      <c r="B1583" s="345"/>
      <c r="C1583" s="346"/>
      <c r="D1583" s="347"/>
      <c r="E1583" s="348"/>
      <c r="F1583" s="349"/>
      <c r="G1583" s="350"/>
      <c r="H1583" s="350"/>
      <c r="I1583" s="350"/>
      <c r="J1583" s="350"/>
    </row>
    <row r="1584" ht="15.75" customHeight="1">
      <c r="A1584" s="337"/>
      <c r="B1584" s="338"/>
      <c r="C1584" s="339"/>
      <c r="D1584" s="340"/>
      <c r="E1584" s="341"/>
      <c r="F1584" s="342"/>
      <c r="G1584" s="343"/>
      <c r="H1584" s="410"/>
      <c r="I1584" s="410"/>
      <c r="J1584" s="411"/>
    </row>
    <row r="1585" ht="15.75" customHeight="1">
      <c r="A1585" s="344"/>
      <c r="B1585" s="345"/>
      <c r="C1585" s="346"/>
      <c r="D1585" s="347"/>
      <c r="E1585" s="348"/>
      <c r="F1585" s="349"/>
      <c r="G1585" s="350"/>
      <c r="H1585" s="350"/>
      <c r="I1585" s="350"/>
      <c r="J1585" s="350"/>
    </row>
    <row r="1586" ht="6.0" customHeight="1">
      <c r="A1586" s="334"/>
      <c r="B1586" s="334"/>
      <c r="C1586" s="335"/>
      <c r="D1586" s="336"/>
      <c r="E1586" s="334"/>
      <c r="F1586" s="334"/>
      <c r="G1586" s="334"/>
      <c r="H1586" s="334"/>
      <c r="I1586" s="334"/>
      <c r="J1586" s="334"/>
    </row>
    <row r="1587" ht="24.0" customHeight="1">
      <c r="A1587" s="313" t="s">
        <v>534</v>
      </c>
      <c r="B1587" s="55"/>
      <c r="C1587" s="55"/>
      <c r="D1587" s="55"/>
      <c r="E1587" s="55"/>
      <c r="F1587" s="56"/>
      <c r="G1587" s="314"/>
      <c r="H1587" s="315">
        <f>SUM(D1588:D1617)</f>
        <v>0</v>
      </c>
      <c r="I1587" s="316"/>
      <c r="J1587" s="317" t="str">
        <f>IF(I1587&gt;0,H1587/I1587,"")</f>
        <v/>
      </c>
    </row>
    <row r="1588" ht="15.75" customHeight="1">
      <c r="A1588" s="353"/>
      <c r="B1588" s="354"/>
      <c r="C1588" s="355"/>
      <c r="D1588" s="356"/>
      <c r="E1588" s="357"/>
      <c r="F1588" s="358"/>
      <c r="G1588" s="359"/>
      <c r="H1588" s="359"/>
      <c r="I1588" s="359"/>
      <c r="J1588" s="359"/>
    </row>
    <row r="1589" ht="15.75" customHeight="1">
      <c r="A1589" s="360"/>
      <c r="B1589" s="361"/>
      <c r="C1589" s="362"/>
      <c r="D1589" s="363"/>
      <c r="E1589" s="364"/>
      <c r="F1589" s="365"/>
      <c r="G1589" s="366"/>
      <c r="H1589" s="366"/>
      <c r="I1589" s="366"/>
      <c r="J1589" s="366"/>
    </row>
    <row r="1590" ht="15.75" customHeight="1">
      <c r="A1590" s="353"/>
      <c r="B1590" s="354"/>
      <c r="C1590" s="355"/>
      <c r="D1590" s="356"/>
      <c r="E1590" s="357"/>
      <c r="F1590" s="358"/>
      <c r="G1590" s="359"/>
      <c r="H1590" s="359"/>
      <c r="I1590" s="359"/>
      <c r="J1590" s="359"/>
    </row>
    <row r="1591" ht="15.75" customHeight="1">
      <c r="A1591" s="360"/>
      <c r="B1591" s="361"/>
      <c r="C1591" s="362"/>
      <c r="D1591" s="363"/>
      <c r="E1591" s="364"/>
      <c r="F1591" s="365"/>
      <c r="G1591" s="366"/>
      <c r="H1591" s="366"/>
      <c r="I1591" s="366"/>
      <c r="J1591" s="366"/>
    </row>
    <row r="1592" ht="15.75" customHeight="1">
      <c r="A1592" s="353"/>
      <c r="B1592" s="354"/>
      <c r="C1592" s="355"/>
      <c r="D1592" s="356"/>
      <c r="E1592" s="357"/>
      <c r="F1592" s="358"/>
      <c r="G1592" s="359"/>
      <c r="H1592" s="359"/>
      <c r="I1592" s="359"/>
      <c r="J1592" s="359"/>
    </row>
    <row r="1593" ht="15.75" customHeight="1">
      <c r="A1593" s="360"/>
      <c r="B1593" s="361"/>
      <c r="C1593" s="362"/>
      <c r="D1593" s="363"/>
      <c r="E1593" s="364"/>
      <c r="F1593" s="365"/>
      <c r="G1593" s="366"/>
      <c r="H1593" s="366"/>
      <c r="I1593" s="366"/>
      <c r="J1593" s="366"/>
    </row>
    <row r="1594" ht="15.75" customHeight="1">
      <c r="A1594" s="353"/>
      <c r="B1594" s="354"/>
      <c r="C1594" s="355"/>
      <c r="D1594" s="356"/>
      <c r="E1594" s="357"/>
      <c r="F1594" s="358"/>
      <c r="G1594" s="359"/>
      <c r="H1594" s="359"/>
      <c r="I1594" s="359"/>
      <c r="J1594" s="359"/>
    </row>
    <row r="1595" ht="15.75" customHeight="1">
      <c r="A1595" s="360"/>
      <c r="B1595" s="361"/>
      <c r="C1595" s="362"/>
      <c r="D1595" s="363"/>
      <c r="E1595" s="364"/>
      <c r="F1595" s="365"/>
      <c r="G1595" s="366"/>
      <c r="H1595" s="366"/>
      <c r="I1595" s="366"/>
      <c r="J1595" s="366"/>
    </row>
    <row r="1596" ht="15.75" customHeight="1">
      <c r="A1596" s="353"/>
      <c r="B1596" s="354"/>
      <c r="C1596" s="355"/>
      <c r="D1596" s="356"/>
      <c r="E1596" s="357"/>
      <c r="F1596" s="358"/>
      <c r="G1596" s="359"/>
      <c r="H1596" s="359"/>
      <c r="I1596" s="359"/>
      <c r="J1596" s="359"/>
    </row>
    <row r="1597" ht="15.75" customHeight="1">
      <c r="A1597" s="360"/>
      <c r="B1597" s="361"/>
      <c r="C1597" s="362"/>
      <c r="D1597" s="363"/>
      <c r="E1597" s="364"/>
      <c r="F1597" s="365"/>
      <c r="G1597" s="366"/>
      <c r="H1597" s="366"/>
      <c r="I1597" s="366"/>
      <c r="J1597" s="366"/>
    </row>
    <row r="1598" ht="15.75" customHeight="1">
      <c r="A1598" s="353"/>
      <c r="B1598" s="354"/>
      <c r="C1598" s="355"/>
      <c r="D1598" s="356"/>
      <c r="E1598" s="357"/>
      <c r="F1598" s="358"/>
      <c r="G1598" s="359"/>
      <c r="H1598" s="359"/>
      <c r="I1598" s="359"/>
      <c r="J1598" s="359"/>
    </row>
    <row r="1599" ht="15.75" customHeight="1">
      <c r="A1599" s="360"/>
      <c r="B1599" s="361"/>
      <c r="C1599" s="362"/>
      <c r="D1599" s="363"/>
      <c r="E1599" s="364"/>
      <c r="F1599" s="365"/>
      <c r="G1599" s="366"/>
      <c r="H1599" s="366"/>
      <c r="I1599" s="366"/>
      <c r="J1599" s="366"/>
    </row>
    <row r="1600" ht="15.75" customHeight="1">
      <c r="A1600" s="353"/>
      <c r="B1600" s="354"/>
      <c r="C1600" s="355"/>
      <c r="D1600" s="356"/>
      <c r="E1600" s="357"/>
      <c r="F1600" s="358"/>
      <c r="G1600" s="359"/>
      <c r="H1600" s="359"/>
      <c r="I1600" s="359"/>
      <c r="J1600" s="359"/>
    </row>
    <row r="1601" ht="15.75" customHeight="1">
      <c r="A1601" s="360"/>
      <c r="B1601" s="361"/>
      <c r="C1601" s="362"/>
      <c r="D1601" s="363"/>
      <c r="E1601" s="364"/>
      <c r="F1601" s="365"/>
      <c r="G1601" s="366"/>
      <c r="H1601" s="366"/>
      <c r="I1601" s="366"/>
      <c r="J1601" s="366"/>
    </row>
    <row r="1602" ht="15.75" customHeight="1">
      <c r="A1602" s="353"/>
      <c r="B1602" s="354"/>
      <c r="C1602" s="355"/>
      <c r="D1602" s="356"/>
      <c r="E1602" s="357"/>
      <c r="F1602" s="358"/>
      <c r="G1602" s="359"/>
      <c r="H1602" s="359"/>
      <c r="I1602" s="359"/>
      <c r="J1602" s="359"/>
    </row>
    <row r="1603" ht="15.75" customHeight="1">
      <c r="A1603" s="360"/>
      <c r="B1603" s="361"/>
      <c r="C1603" s="362"/>
      <c r="D1603" s="363"/>
      <c r="E1603" s="364"/>
      <c r="F1603" s="365"/>
      <c r="G1603" s="366"/>
      <c r="H1603" s="366"/>
      <c r="I1603" s="366"/>
      <c r="J1603" s="366"/>
    </row>
    <row r="1604" ht="15.75" customHeight="1">
      <c r="A1604" s="353"/>
      <c r="B1604" s="354"/>
      <c r="C1604" s="355"/>
      <c r="D1604" s="356"/>
      <c r="E1604" s="357"/>
      <c r="F1604" s="358"/>
      <c r="G1604" s="359"/>
      <c r="H1604" s="359"/>
      <c r="I1604" s="359"/>
      <c r="J1604" s="359"/>
    </row>
    <row r="1605" ht="15.75" customHeight="1">
      <c r="A1605" s="360"/>
      <c r="B1605" s="361"/>
      <c r="C1605" s="362"/>
      <c r="D1605" s="363"/>
      <c r="E1605" s="364"/>
      <c r="F1605" s="365"/>
      <c r="G1605" s="366"/>
      <c r="H1605" s="366"/>
      <c r="I1605" s="366"/>
      <c r="J1605" s="366"/>
    </row>
    <row r="1606" ht="15.75" customHeight="1">
      <c r="A1606" s="353"/>
      <c r="B1606" s="354"/>
      <c r="C1606" s="355"/>
      <c r="D1606" s="356"/>
      <c r="E1606" s="357"/>
      <c r="F1606" s="358"/>
      <c r="G1606" s="359"/>
      <c r="H1606" s="359"/>
      <c r="I1606" s="359"/>
      <c r="J1606" s="359"/>
    </row>
    <row r="1607" ht="15.75" customHeight="1">
      <c r="A1607" s="360"/>
      <c r="B1607" s="361"/>
      <c r="C1607" s="362"/>
      <c r="D1607" s="363"/>
      <c r="E1607" s="364"/>
      <c r="F1607" s="365"/>
      <c r="G1607" s="366"/>
      <c r="H1607" s="366"/>
      <c r="I1607" s="366"/>
      <c r="J1607" s="366"/>
    </row>
    <row r="1608" ht="15.75" customHeight="1">
      <c r="A1608" s="353"/>
      <c r="B1608" s="354"/>
      <c r="C1608" s="355"/>
      <c r="D1608" s="356"/>
      <c r="E1608" s="357"/>
      <c r="F1608" s="358"/>
      <c r="G1608" s="359"/>
      <c r="H1608" s="359"/>
      <c r="I1608" s="359"/>
      <c r="J1608" s="359"/>
    </row>
    <row r="1609" ht="15.75" customHeight="1">
      <c r="A1609" s="360"/>
      <c r="B1609" s="361"/>
      <c r="C1609" s="362"/>
      <c r="D1609" s="363"/>
      <c r="E1609" s="364"/>
      <c r="F1609" s="365"/>
      <c r="G1609" s="366"/>
      <c r="H1609" s="366"/>
      <c r="I1609" s="366"/>
      <c r="J1609" s="366"/>
    </row>
    <row r="1610" ht="15.75" customHeight="1">
      <c r="A1610" s="353"/>
      <c r="B1610" s="354"/>
      <c r="C1610" s="355"/>
      <c r="D1610" s="356"/>
      <c r="E1610" s="357"/>
      <c r="F1610" s="358"/>
      <c r="G1610" s="359"/>
      <c r="H1610" s="359"/>
      <c r="I1610" s="359"/>
      <c r="J1610" s="359"/>
    </row>
    <row r="1611" ht="15.75" customHeight="1">
      <c r="A1611" s="360"/>
      <c r="B1611" s="361"/>
      <c r="C1611" s="362"/>
      <c r="D1611" s="363"/>
      <c r="E1611" s="364"/>
      <c r="F1611" s="365"/>
      <c r="G1611" s="366"/>
      <c r="H1611" s="366"/>
      <c r="I1611" s="366"/>
      <c r="J1611" s="366"/>
    </row>
    <row r="1612" ht="15.75" customHeight="1">
      <c r="A1612" s="353"/>
      <c r="B1612" s="354"/>
      <c r="C1612" s="355"/>
      <c r="D1612" s="356"/>
      <c r="E1612" s="357"/>
      <c r="F1612" s="358"/>
      <c r="G1612" s="359"/>
      <c r="H1612" s="359"/>
      <c r="I1612" s="359"/>
      <c r="J1612" s="359"/>
    </row>
    <row r="1613" ht="15.75" customHeight="1">
      <c r="A1613" s="360"/>
      <c r="B1613" s="361"/>
      <c r="C1613" s="362"/>
      <c r="D1613" s="363"/>
      <c r="E1613" s="364"/>
      <c r="F1613" s="365"/>
      <c r="G1613" s="366"/>
      <c r="H1613" s="366"/>
      <c r="I1613" s="366"/>
      <c r="J1613" s="366"/>
    </row>
    <row r="1614" ht="15.75" customHeight="1">
      <c r="A1614" s="353"/>
      <c r="B1614" s="354"/>
      <c r="C1614" s="355"/>
      <c r="D1614" s="356"/>
      <c r="E1614" s="357"/>
      <c r="F1614" s="358"/>
      <c r="G1614" s="359"/>
      <c r="H1614" s="359"/>
      <c r="I1614" s="359"/>
      <c r="J1614" s="359"/>
    </row>
    <row r="1615" ht="15.75" customHeight="1">
      <c r="A1615" s="360"/>
      <c r="B1615" s="361"/>
      <c r="C1615" s="362"/>
      <c r="D1615" s="363"/>
      <c r="E1615" s="364"/>
      <c r="F1615" s="365"/>
      <c r="G1615" s="366"/>
      <c r="H1615" s="366"/>
      <c r="I1615" s="366"/>
      <c r="J1615" s="366"/>
    </row>
    <row r="1616" ht="15.75" customHeight="1">
      <c r="A1616" s="353"/>
      <c r="B1616" s="354"/>
      <c r="C1616" s="355"/>
      <c r="D1616" s="356"/>
      <c r="E1616" s="357"/>
      <c r="F1616" s="358"/>
      <c r="G1616" s="359"/>
      <c r="H1616" s="359"/>
      <c r="I1616" s="359"/>
      <c r="J1616" s="359"/>
    </row>
    <row r="1617" ht="15.75" customHeight="1">
      <c r="A1617" s="360"/>
      <c r="B1617" s="361"/>
      <c r="C1617" s="362"/>
      <c r="D1617" s="363"/>
      <c r="E1617" s="364"/>
      <c r="F1617" s="365"/>
      <c r="G1617" s="366"/>
      <c r="H1617" s="412"/>
      <c r="I1617" s="412"/>
      <c r="J1617" s="413"/>
    </row>
    <row r="1618" ht="6.0" customHeight="1">
      <c r="A1618" s="334"/>
      <c r="B1618" s="334"/>
      <c r="C1618" s="334"/>
      <c r="D1618" s="334"/>
      <c r="E1618" s="334"/>
      <c r="F1618" s="334"/>
      <c r="G1618" s="334"/>
      <c r="H1618" s="334"/>
      <c r="I1618" s="334"/>
      <c r="J1618" s="334"/>
    </row>
    <row r="1619" ht="24.0" customHeight="1">
      <c r="A1619" s="313" t="s">
        <v>535</v>
      </c>
      <c r="B1619" s="55"/>
      <c r="C1619" s="55"/>
      <c r="D1619" s="55"/>
      <c r="E1619" s="55"/>
      <c r="F1619" s="56"/>
      <c r="G1619" s="314"/>
      <c r="H1619" s="315">
        <f>SUM(D1620:D1649)</f>
        <v>0</v>
      </c>
      <c r="I1619" s="316"/>
      <c r="J1619" s="317" t="str">
        <f>IF(I1619&gt;0,H1619/I1619,"")</f>
        <v/>
      </c>
    </row>
    <row r="1620" ht="15.75" customHeight="1">
      <c r="A1620" s="369"/>
      <c r="B1620" s="420" t="str">
        <f t="shared" ref="B1620:C1620" si="26">H1584</f>
        <v/>
      </c>
      <c r="C1620" s="371" t="str">
        <f t="shared" si="26"/>
        <v/>
      </c>
      <c r="D1620" s="372" t="str">
        <f>IF(C1643&gt;0,B1643/C1643,"")</f>
        <v/>
      </c>
      <c r="E1620" s="373">
        <f>COUNTA(B1585:B1614)</f>
        <v>0</v>
      </c>
      <c r="F1620" s="374"/>
      <c r="G1620" s="375"/>
      <c r="H1620" s="375"/>
      <c r="I1620" s="375"/>
      <c r="J1620" s="375"/>
    </row>
    <row r="1621" ht="15.75" customHeight="1">
      <c r="A1621" s="376"/>
      <c r="B1621" s="377"/>
      <c r="C1621" s="378"/>
      <c r="D1621" s="379"/>
      <c r="E1621" s="380"/>
      <c r="F1621" s="381"/>
      <c r="G1621" s="382"/>
      <c r="H1621" s="382"/>
      <c r="I1621" s="382"/>
      <c r="J1621" s="382"/>
    </row>
    <row r="1622" ht="15.75" customHeight="1">
      <c r="A1622" s="369"/>
      <c r="B1622" s="417"/>
      <c r="C1622" s="371"/>
      <c r="D1622" s="372"/>
      <c r="E1622" s="373"/>
      <c r="F1622" s="374"/>
      <c r="G1622" s="375"/>
      <c r="H1622" s="375"/>
      <c r="I1622" s="375"/>
      <c r="J1622" s="375"/>
    </row>
    <row r="1623" ht="15.75" customHeight="1">
      <c r="A1623" s="376"/>
      <c r="B1623" s="416"/>
      <c r="C1623" s="378"/>
      <c r="D1623" s="379"/>
      <c r="E1623" s="380"/>
      <c r="F1623" s="381"/>
      <c r="G1623" s="382"/>
      <c r="H1623" s="382"/>
      <c r="I1623" s="382"/>
      <c r="J1623" s="382"/>
    </row>
    <row r="1624" ht="15.75" customHeight="1">
      <c r="A1624" s="369"/>
      <c r="B1624" s="417"/>
      <c r="C1624" s="371"/>
      <c r="D1624" s="372"/>
      <c r="E1624" s="373"/>
      <c r="F1624" s="374"/>
      <c r="G1624" s="375"/>
      <c r="H1624" s="375"/>
      <c r="I1624" s="375"/>
      <c r="J1624" s="375"/>
    </row>
    <row r="1625" ht="15.75" customHeight="1">
      <c r="A1625" s="376"/>
      <c r="B1625" s="416"/>
      <c r="C1625" s="378"/>
      <c r="D1625" s="379"/>
      <c r="E1625" s="380"/>
      <c r="F1625" s="381"/>
      <c r="G1625" s="382"/>
      <c r="H1625" s="382"/>
      <c r="I1625" s="382"/>
      <c r="J1625" s="382"/>
    </row>
    <row r="1626" ht="15.75" customHeight="1">
      <c r="A1626" s="369"/>
      <c r="B1626" s="417"/>
      <c r="C1626" s="371"/>
      <c r="D1626" s="372"/>
      <c r="E1626" s="373"/>
      <c r="F1626" s="374"/>
      <c r="G1626" s="375"/>
      <c r="H1626" s="375"/>
      <c r="I1626" s="375"/>
      <c r="J1626" s="375"/>
    </row>
    <row r="1627" ht="15.75" customHeight="1">
      <c r="A1627" s="376"/>
      <c r="B1627" s="416"/>
      <c r="C1627" s="378"/>
      <c r="D1627" s="379"/>
      <c r="E1627" s="380"/>
      <c r="F1627" s="381"/>
      <c r="G1627" s="382"/>
      <c r="H1627" s="382"/>
      <c r="I1627" s="382"/>
      <c r="J1627" s="382"/>
    </row>
    <row r="1628" ht="15.75" customHeight="1">
      <c r="A1628" s="369"/>
      <c r="B1628" s="417"/>
      <c r="C1628" s="371"/>
      <c r="D1628" s="372"/>
      <c r="E1628" s="373"/>
      <c r="F1628" s="374"/>
      <c r="G1628" s="375"/>
      <c r="H1628" s="375"/>
      <c r="I1628" s="375"/>
      <c r="J1628" s="375"/>
    </row>
    <row r="1629" ht="15.75" customHeight="1">
      <c r="A1629" s="376"/>
      <c r="B1629" s="416"/>
      <c r="C1629" s="378"/>
      <c r="D1629" s="379"/>
      <c r="E1629" s="380"/>
      <c r="F1629" s="381"/>
      <c r="G1629" s="382"/>
      <c r="H1629" s="382"/>
      <c r="I1629" s="382"/>
      <c r="J1629" s="382"/>
    </row>
    <row r="1630" ht="15.75" customHeight="1">
      <c r="A1630" s="369"/>
      <c r="B1630" s="417"/>
      <c r="C1630" s="371"/>
      <c r="D1630" s="372"/>
      <c r="E1630" s="373"/>
      <c r="F1630" s="374"/>
      <c r="G1630" s="375"/>
      <c r="H1630" s="375"/>
      <c r="I1630" s="375"/>
      <c r="J1630" s="375"/>
    </row>
    <row r="1631" ht="15.75" customHeight="1">
      <c r="A1631" s="376"/>
      <c r="B1631" s="416"/>
      <c r="C1631" s="378"/>
      <c r="D1631" s="379"/>
      <c r="E1631" s="380"/>
      <c r="F1631" s="381"/>
      <c r="G1631" s="382"/>
      <c r="H1631" s="382"/>
      <c r="I1631" s="382"/>
      <c r="J1631" s="382"/>
    </row>
    <row r="1632" ht="15.75" customHeight="1">
      <c r="A1632" s="369"/>
      <c r="B1632" s="417"/>
      <c r="C1632" s="371"/>
      <c r="D1632" s="372"/>
      <c r="E1632" s="373"/>
      <c r="F1632" s="374"/>
      <c r="G1632" s="375"/>
      <c r="H1632" s="375"/>
      <c r="I1632" s="375"/>
      <c r="J1632" s="375"/>
    </row>
    <row r="1633" ht="15.75" customHeight="1">
      <c r="A1633" s="376"/>
      <c r="B1633" s="416"/>
      <c r="C1633" s="378"/>
      <c r="D1633" s="379"/>
      <c r="E1633" s="380"/>
      <c r="F1633" s="381"/>
      <c r="G1633" s="382"/>
      <c r="H1633" s="382"/>
      <c r="I1633" s="382"/>
      <c r="J1633" s="382"/>
    </row>
    <row r="1634" ht="15.75" customHeight="1">
      <c r="A1634" s="369"/>
      <c r="B1634" s="417"/>
      <c r="C1634" s="371"/>
      <c r="D1634" s="372"/>
      <c r="E1634" s="373"/>
      <c r="F1634" s="374"/>
      <c r="G1634" s="375"/>
      <c r="H1634" s="375"/>
      <c r="I1634" s="375"/>
      <c r="J1634" s="375"/>
    </row>
    <row r="1635" ht="15.75" customHeight="1">
      <c r="A1635" s="376"/>
      <c r="B1635" s="416"/>
      <c r="C1635" s="378"/>
      <c r="D1635" s="379"/>
      <c r="E1635" s="380"/>
      <c r="F1635" s="381"/>
      <c r="G1635" s="382"/>
      <c r="H1635" s="382"/>
      <c r="I1635" s="382"/>
      <c r="J1635" s="382"/>
    </row>
    <row r="1636" ht="15.75" customHeight="1">
      <c r="A1636" s="369"/>
      <c r="B1636" s="417"/>
      <c r="C1636" s="371"/>
      <c r="D1636" s="372"/>
      <c r="E1636" s="373"/>
      <c r="F1636" s="374"/>
      <c r="G1636" s="375"/>
      <c r="H1636" s="375"/>
      <c r="I1636" s="375"/>
      <c r="J1636" s="375"/>
    </row>
    <row r="1637" ht="15.75" customHeight="1">
      <c r="A1637" s="376"/>
      <c r="B1637" s="416"/>
      <c r="C1637" s="378"/>
      <c r="D1637" s="379"/>
      <c r="E1637" s="380"/>
      <c r="F1637" s="381"/>
      <c r="G1637" s="382"/>
      <c r="H1637" s="382"/>
      <c r="I1637" s="382"/>
      <c r="J1637" s="382"/>
    </row>
    <row r="1638" ht="15.75" customHeight="1">
      <c r="A1638" s="369"/>
      <c r="B1638" s="417"/>
      <c r="C1638" s="371"/>
      <c r="D1638" s="372"/>
      <c r="E1638" s="373"/>
      <c r="F1638" s="374"/>
      <c r="G1638" s="375"/>
      <c r="H1638" s="375"/>
      <c r="I1638" s="375"/>
      <c r="J1638" s="375"/>
    </row>
    <row r="1639" ht="15.75" customHeight="1">
      <c r="A1639" s="376"/>
      <c r="B1639" s="416"/>
      <c r="C1639" s="378"/>
      <c r="D1639" s="379"/>
      <c r="E1639" s="380"/>
      <c r="F1639" s="381"/>
      <c r="G1639" s="382"/>
      <c r="H1639" s="382"/>
      <c r="I1639" s="382"/>
      <c r="J1639" s="382"/>
    </row>
    <row r="1640" ht="15.75" customHeight="1">
      <c r="A1640" s="369"/>
      <c r="B1640" s="417"/>
      <c r="C1640" s="371"/>
      <c r="D1640" s="372"/>
      <c r="E1640" s="373"/>
      <c r="F1640" s="374"/>
      <c r="G1640" s="375"/>
      <c r="H1640" s="375"/>
      <c r="I1640" s="375"/>
      <c r="J1640" s="375"/>
    </row>
    <row r="1641" ht="15.75" customHeight="1">
      <c r="A1641" s="376"/>
      <c r="B1641" s="416"/>
      <c r="C1641" s="378"/>
      <c r="D1641" s="379"/>
      <c r="E1641" s="380"/>
      <c r="F1641" s="381"/>
      <c r="G1641" s="382"/>
      <c r="H1641" s="382"/>
      <c r="I1641" s="382"/>
      <c r="J1641" s="382"/>
    </row>
    <row r="1642" ht="15.75" customHeight="1">
      <c r="A1642" s="369"/>
      <c r="B1642" s="417"/>
      <c r="C1642" s="371"/>
      <c r="D1642" s="372"/>
      <c r="E1642" s="373"/>
      <c r="F1642" s="374"/>
      <c r="G1642" s="375"/>
      <c r="H1642" s="375"/>
      <c r="I1642" s="375"/>
      <c r="J1642" s="375"/>
    </row>
    <row r="1643" ht="15.75" customHeight="1">
      <c r="A1643" s="376"/>
      <c r="B1643" s="416"/>
      <c r="C1643" s="378"/>
      <c r="D1643" s="379"/>
      <c r="E1643" s="380"/>
      <c r="F1643" s="381"/>
      <c r="G1643" s="382"/>
      <c r="H1643" s="382"/>
      <c r="I1643" s="382"/>
      <c r="J1643" s="382"/>
    </row>
    <row r="1644" ht="15.75" customHeight="1">
      <c r="A1644" s="369"/>
      <c r="B1644" s="417"/>
      <c r="C1644" s="371"/>
      <c r="D1644" s="372"/>
      <c r="E1644" s="373"/>
      <c r="F1644" s="374"/>
      <c r="G1644" s="375"/>
      <c r="H1644" s="375"/>
      <c r="I1644" s="375"/>
      <c r="J1644" s="375"/>
    </row>
    <row r="1645" ht="15.75" customHeight="1">
      <c r="A1645" s="376"/>
      <c r="B1645" s="377"/>
      <c r="C1645" s="378"/>
      <c r="D1645" s="379"/>
      <c r="E1645" s="380"/>
      <c r="F1645" s="381"/>
      <c r="G1645" s="382"/>
      <c r="H1645" s="382"/>
      <c r="I1645" s="382"/>
      <c r="J1645" s="382"/>
    </row>
    <row r="1646" ht="15.75" customHeight="1">
      <c r="A1646" s="369"/>
      <c r="B1646" s="370"/>
      <c r="C1646" s="371"/>
      <c r="D1646" s="372"/>
      <c r="E1646" s="373"/>
      <c r="F1646" s="374"/>
      <c r="G1646" s="375"/>
      <c r="H1646" s="375"/>
      <c r="I1646" s="375"/>
      <c r="J1646" s="375"/>
    </row>
    <row r="1647" ht="15.75" customHeight="1">
      <c r="A1647" s="376"/>
      <c r="B1647" s="377"/>
      <c r="C1647" s="378"/>
      <c r="D1647" s="379"/>
      <c r="E1647" s="380"/>
      <c r="F1647" s="381"/>
      <c r="G1647" s="382"/>
      <c r="H1647" s="382"/>
      <c r="I1647" s="382"/>
      <c r="J1647" s="382"/>
    </row>
    <row r="1648" ht="15.75" customHeight="1">
      <c r="A1648" s="369"/>
      <c r="B1648" s="370"/>
      <c r="C1648" s="371"/>
      <c r="D1648" s="372"/>
      <c r="E1648" s="373"/>
      <c r="F1648" s="374"/>
      <c r="G1648" s="375"/>
      <c r="H1648" s="375"/>
      <c r="I1648" s="375"/>
      <c r="J1648" s="375"/>
    </row>
    <row r="1649" ht="15.75" customHeight="1">
      <c r="A1649" s="376"/>
      <c r="B1649" s="377"/>
      <c r="C1649" s="378"/>
      <c r="D1649" s="379"/>
      <c r="E1649" s="380"/>
      <c r="F1649" s="381"/>
      <c r="G1649" s="382"/>
      <c r="H1649" s="382"/>
      <c r="I1649" s="382"/>
      <c r="J1649" s="382"/>
    </row>
    <row r="1650" ht="6.0" customHeight="1">
      <c r="A1650" s="334"/>
      <c r="B1650" s="334"/>
      <c r="C1650" s="334"/>
      <c r="D1650" s="334"/>
      <c r="E1650" s="334"/>
      <c r="F1650" s="334"/>
      <c r="G1650" s="334"/>
      <c r="H1650" s="334"/>
      <c r="I1650" s="334"/>
      <c r="J1650" s="334"/>
    </row>
    <row r="1651" ht="27.75" customHeight="1">
      <c r="A1651" s="421"/>
      <c r="B1651" s="55"/>
      <c r="C1651" s="55"/>
      <c r="D1651" s="55"/>
      <c r="E1651" s="55"/>
      <c r="F1651" s="55"/>
      <c r="G1651" s="422"/>
      <c r="H1651" s="423">
        <f>SUM(D31:D1649)</f>
        <v>0</v>
      </c>
      <c r="I1651" s="423">
        <f>SUMPRODUCT((H30:H1649)*ISNUMBER(I30:I1649))</f>
        <v>0</v>
      </c>
      <c r="J1651" s="424" t="str">
        <f>IF(I1651&gt;0,H1651/I1651,"")</f>
        <v/>
      </c>
    </row>
    <row r="1652" ht="15.75" customHeight="1">
      <c r="A1652" s="294"/>
      <c r="B1652" s="294"/>
      <c r="C1652" s="294"/>
      <c r="D1652" s="294"/>
      <c r="E1652" s="294"/>
      <c r="F1652" s="294"/>
      <c r="G1652" s="294"/>
      <c r="H1652" s="294"/>
      <c r="I1652" s="294"/>
      <c r="J1652" s="294"/>
    </row>
    <row r="1653" ht="15.75" customHeight="1">
      <c r="A1653" s="294"/>
      <c r="B1653" s="294"/>
      <c r="C1653" s="294"/>
      <c r="D1653" s="294"/>
      <c r="E1653" s="294"/>
      <c r="F1653" s="294"/>
      <c r="G1653" s="294"/>
      <c r="H1653" s="294"/>
      <c r="I1653" s="294"/>
      <c r="J1653" s="294"/>
    </row>
    <row r="1654" ht="15.75" customHeight="1">
      <c r="A1654" s="294"/>
      <c r="B1654" s="294"/>
      <c r="C1654" s="294"/>
      <c r="D1654" s="294"/>
      <c r="E1654" s="294"/>
      <c r="F1654" s="294"/>
      <c r="G1654" s="294"/>
      <c r="H1654" s="294"/>
      <c r="I1654" s="294"/>
      <c r="J1654" s="294"/>
    </row>
    <row r="1655" ht="15.75" customHeight="1">
      <c r="A1655" s="294"/>
      <c r="B1655" s="294"/>
      <c r="C1655" s="294"/>
      <c r="D1655" s="294"/>
      <c r="E1655" s="294"/>
      <c r="F1655" s="294"/>
      <c r="G1655" s="294"/>
      <c r="H1655" s="294"/>
      <c r="I1655" s="294"/>
      <c r="J1655" s="294"/>
    </row>
    <row r="1656" ht="15.75" customHeight="1">
      <c r="A1656" s="294"/>
      <c r="B1656" s="294"/>
      <c r="C1656" s="294"/>
      <c r="D1656" s="294"/>
      <c r="E1656" s="294"/>
      <c r="F1656" s="294"/>
      <c r="G1656" s="294"/>
      <c r="H1656" s="294"/>
      <c r="I1656" s="294"/>
      <c r="J1656" s="294"/>
    </row>
    <row r="1657" ht="15.75" customHeight="1">
      <c r="A1657" s="294"/>
      <c r="B1657" s="294"/>
      <c r="C1657" s="294"/>
      <c r="D1657" s="294"/>
      <c r="E1657" s="294"/>
      <c r="F1657" s="294"/>
      <c r="G1657" s="294"/>
      <c r="H1657" s="294"/>
      <c r="I1657" s="294"/>
      <c r="J1657" s="294"/>
    </row>
    <row r="1658" ht="15.75" customHeight="1">
      <c r="A1658" s="294"/>
      <c r="B1658" s="294"/>
      <c r="C1658" s="294"/>
      <c r="D1658" s="294"/>
      <c r="E1658" s="294"/>
      <c r="F1658" s="294"/>
      <c r="G1658" s="294"/>
      <c r="H1658" s="294"/>
      <c r="I1658" s="294"/>
      <c r="J1658" s="294"/>
    </row>
    <row r="1659" ht="15.75" customHeight="1">
      <c r="A1659" s="294"/>
      <c r="B1659" s="294"/>
      <c r="C1659" s="294"/>
      <c r="D1659" s="294"/>
      <c r="E1659" s="294"/>
      <c r="F1659" s="294"/>
      <c r="G1659" s="294"/>
      <c r="H1659" s="294"/>
      <c r="I1659" s="294"/>
      <c r="J1659" s="294"/>
    </row>
    <row r="1660" ht="15.75" customHeight="1">
      <c r="A1660" s="294"/>
      <c r="B1660" s="294"/>
      <c r="C1660" s="294"/>
      <c r="D1660" s="294"/>
      <c r="E1660" s="294"/>
      <c r="F1660" s="294"/>
      <c r="G1660" s="294"/>
      <c r="H1660" s="294"/>
      <c r="I1660" s="294"/>
      <c r="J1660" s="294"/>
    </row>
    <row r="1661" ht="15.75" customHeight="1">
      <c r="A1661" s="294"/>
      <c r="B1661" s="294"/>
      <c r="C1661" s="294"/>
      <c r="D1661" s="294"/>
      <c r="E1661" s="294"/>
      <c r="F1661" s="294"/>
      <c r="G1661" s="294"/>
      <c r="H1661" s="294"/>
      <c r="I1661" s="294"/>
      <c r="J1661" s="294"/>
    </row>
    <row r="1662" ht="15.75" customHeight="1">
      <c r="A1662" s="294"/>
      <c r="B1662" s="294"/>
      <c r="C1662" s="294"/>
      <c r="D1662" s="294"/>
      <c r="E1662" s="294"/>
      <c r="F1662" s="294"/>
      <c r="G1662" s="294"/>
      <c r="H1662" s="294"/>
      <c r="I1662" s="294"/>
      <c r="J1662" s="294"/>
    </row>
    <row r="1663" ht="15.75" customHeight="1">
      <c r="A1663" s="294"/>
      <c r="B1663" s="294"/>
      <c r="C1663" s="294"/>
      <c r="D1663" s="294"/>
      <c r="E1663" s="294"/>
      <c r="F1663" s="294"/>
      <c r="G1663" s="294"/>
      <c r="H1663" s="294"/>
      <c r="I1663" s="294"/>
      <c r="J1663" s="294"/>
    </row>
    <row r="1664" ht="15.75" customHeight="1">
      <c r="A1664" s="294"/>
      <c r="B1664" s="294"/>
      <c r="C1664" s="294"/>
      <c r="D1664" s="294"/>
      <c r="E1664" s="294"/>
      <c r="F1664" s="294"/>
      <c r="G1664" s="294"/>
      <c r="H1664" s="294"/>
      <c r="I1664" s="294"/>
      <c r="J1664" s="294"/>
    </row>
    <row r="1665" ht="15.75" customHeight="1">
      <c r="A1665" s="294"/>
      <c r="B1665" s="294"/>
      <c r="C1665" s="294"/>
      <c r="D1665" s="294"/>
      <c r="E1665" s="294"/>
      <c r="F1665" s="294"/>
      <c r="G1665" s="294"/>
      <c r="H1665" s="294"/>
      <c r="I1665" s="294"/>
      <c r="J1665" s="294"/>
    </row>
    <row r="1666" ht="15.75" customHeight="1">
      <c r="A1666" s="294"/>
      <c r="B1666" s="294"/>
      <c r="C1666" s="294"/>
      <c r="D1666" s="294"/>
      <c r="E1666" s="294"/>
      <c r="F1666" s="294"/>
      <c r="G1666" s="294"/>
      <c r="H1666" s="294"/>
      <c r="I1666" s="294"/>
      <c r="J1666" s="294"/>
    </row>
    <row r="1667" ht="15.75" customHeight="1">
      <c r="A1667" s="294"/>
      <c r="B1667" s="294"/>
      <c r="C1667" s="294"/>
      <c r="D1667" s="294"/>
      <c r="E1667" s="294"/>
      <c r="F1667" s="294"/>
      <c r="G1667" s="294"/>
      <c r="H1667" s="294"/>
      <c r="I1667" s="294"/>
      <c r="J1667" s="294"/>
    </row>
    <row r="1668" ht="15.75" customHeight="1">
      <c r="A1668" s="294"/>
      <c r="B1668" s="294"/>
      <c r="C1668" s="294"/>
      <c r="D1668" s="294"/>
      <c r="E1668" s="294"/>
      <c r="F1668" s="294"/>
      <c r="G1668" s="294"/>
      <c r="H1668" s="294"/>
      <c r="I1668" s="294"/>
      <c r="J1668" s="294"/>
    </row>
    <row r="1669" ht="15.75" customHeight="1">
      <c r="A1669" s="294"/>
      <c r="B1669" s="294"/>
      <c r="C1669" s="294"/>
      <c r="D1669" s="294"/>
      <c r="E1669" s="294"/>
      <c r="F1669" s="294"/>
      <c r="G1669" s="294"/>
      <c r="H1669" s="294"/>
      <c r="I1669" s="294"/>
      <c r="J1669" s="294"/>
    </row>
    <row r="1670" ht="15.75" customHeight="1">
      <c r="A1670" s="294"/>
      <c r="B1670" s="294"/>
      <c r="C1670" s="294"/>
      <c r="D1670" s="294"/>
      <c r="E1670" s="294"/>
      <c r="F1670" s="294"/>
      <c r="G1670" s="294"/>
      <c r="H1670" s="294"/>
      <c r="I1670" s="294"/>
      <c r="J1670" s="294"/>
    </row>
    <row r="1671" ht="15.75" customHeight="1">
      <c r="A1671" s="294"/>
      <c r="B1671" s="294"/>
      <c r="C1671" s="294"/>
      <c r="D1671" s="294"/>
      <c r="E1671" s="294"/>
      <c r="F1671" s="294"/>
      <c r="G1671" s="294"/>
      <c r="H1671" s="294"/>
      <c r="I1671" s="294"/>
      <c r="J1671" s="294"/>
    </row>
    <row r="1672" ht="15.75" customHeight="1">
      <c r="A1672" s="294"/>
      <c r="B1672" s="294"/>
      <c r="C1672" s="294"/>
      <c r="D1672" s="294"/>
      <c r="E1672" s="294"/>
      <c r="F1672" s="294"/>
      <c r="G1672" s="294"/>
      <c r="H1672" s="294"/>
      <c r="I1672" s="294"/>
      <c r="J1672" s="294"/>
    </row>
    <row r="1673" ht="15.75" customHeight="1">
      <c r="A1673" s="294"/>
      <c r="B1673" s="294"/>
      <c r="C1673" s="294"/>
      <c r="D1673" s="294"/>
      <c r="E1673" s="294"/>
      <c r="F1673" s="294"/>
      <c r="G1673" s="294"/>
      <c r="H1673" s="294"/>
      <c r="I1673" s="294"/>
      <c r="J1673" s="294"/>
    </row>
    <row r="1674" ht="15.75" customHeight="1">
      <c r="A1674" s="294"/>
      <c r="B1674" s="294"/>
      <c r="C1674" s="294"/>
      <c r="D1674" s="294"/>
      <c r="E1674" s="294"/>
      <c r="F1674" s="294"/>
      <c r="G1674" s="294"/>
      <c r="H1674" s="294"/>
      <c r="I1674" s="294"/>
      <c r="J1674" s="294"/>
    </row>
    <row r="1675" ht="15.75" customHeight="1">
      <c r="A1675" s="294"/>
      <c r="B1675" s="294"/>
      <c r="C1675" s="294"/>
      <c r="D1675" s="294"/>
      <c r="E1675" s="294"/>
      <c r="F1675" s="294"/>
      <c r="G1675" s="294"/>
      <c r="H1675" s="294"/>
      <c r="I1675" s="294"/>
      <c r="J1675" s="294"/>
    </row>
    <row r="1676" ht="15.75" customHeight="1">
      <c r="A1676" s="294"/>
      <c r="B1676" s="294"/>
      <c r="C1676" s="294"/>
      <c r="D1676" s="294"/>
      <c r="E1676" s="294"/>
      <c r="F1676" s="294"/>
      <c r="G1676" s="294"/>
      <c r="H1676" s="294"/>
      <c r="I1676" s="294"/>
      <c r="J1676" s="294"/>
    </row>
    <row r="1677" ht="15.75" customHeight="1">
      <c r="A1677" s="294"/>
      <c r="B1677" s="294"/>
      <c r="C1677" s="294"/>
      <c r="D1677" s="294"/>
      <c r="E1677" s="294"/>
      <c r="F1677" s="294"/>
      <c r="G1677" s="294"/>
      <c r="H1677" s="294"/>
      <c r="I1677" s="294"/>
      <c r="J1677" s="294"/>
    </row>
    <row r="1678" ht="15.75" customHeight="1">
      <c r="A1678" s="294"/>
      <c r="B1678" s="294"/>
      <c r="C1678" s="294"/>
      <c r="D1678" s="294"/>
      <c r="E1678" s="294"/>
      <c r="F1678" s="294"/>
      <c r="G1678" s="294"/>
      <c r="H1678" s="294"/>
      <c r="I1678" s="294"/>
      <c r="J1678" s="294"/>
    </row>
    <row r="1679" ht="15.75" customHeight="1">
      <c r="A1679" s="294"/>
      <c r="B1679" s="294"/>
      <c r="C1679" s="294"/>
      <c r="D1679" s="294"/>
      <c r="E1679" s="294"/>
      <c r="F1679" s="294"/>
      <c r="G1679" s="294"/>
      <c r="H1679" s="294"/>
      <c r="I1679" s="294"/>
      <c r="J1679" s="294"/>
    </row>
    <row r="1680" ht="15.75" customHeight="1">
      <c r="A1680" s="294"/>
      <c r="B1680" s="294"/>
      <c r="C1680" s="294"/>
      <c r="D1680" s="294"/>
      <c r="E1680" s="294"/>
      <c r="F1680" s="294"/>
      <c r="G1680" s="294"/>
      <c r="H1680" s="294"/>
      <c r="I1680" s="294"/>
      <c r="J1680" s="294"/>
    </row>
    <row r="1681" ht="15.75" customHeight="1">
      <c r="A1681" s="294"/>
      <c r="B1681" s="294"/>
      <c r="C1681" s="294"/>
      <c r="D1681" s="294"/>
      <c r="E1681" s="294"/>
      <c r="F1681" s="294"/>
      <c r="G1681" s="294"/>
      <c r="H1681" s="294"/>
      <c r="I1681" s="294"/>
      <c r="J1681" s="294"/>
    </row>
    <row r="1682" ht="15.75" customHeight="1">
      <c r="A1682" s="294"/>
      <c r="B1682" s="294"/>
      <c r="C1682" s="294"/>
      <c r="D1682" s="294"/>
      <c r="E1682" s="294"/>
      <c r="F1682" s="294"/>
      <c r="G1682" s="294"/>
      <c r="H1682" s="294"/>
      <c r="I1682" s="294"/>
      <c r="J1682" s="294"/>
    </row>
    <row r="1683" ht="15.75" customHeight="1">
      <c r="A1683" s="294"/>
      <c r="B1683" s="294"/>
      <c r="C1683" s="294"/>
      <c r="D1683" s="294"/>
      <c r="E1683" s="294"/>
      <c r="F1683" s="294"/>
      <c r="G1683" s="294"/>
      <c r="H1683" s="294"/>
      <c r="I1683" s="294"/>
      <c r="J1683" s="294"/>
    </row>
    <row r="1684" ht="15.75" customHeight="1">
      <c r="A1684" s="294"/>
      <c r="B1684" s="294"/>
      <c r="C1684" s="294"/>
      <c r="D1684" s="294"/>
      <c r="E1684" s="294"/>
      <c r="F1684" s="294"/>
      <c r="G1684" s="294"/>
      <c r="H1684" s="294"/>
      <c r="I1684" s="294"/>
      <c r="J1684" s="294"/>
    </row>
    <row r="1685" ht="15.75" customHeight="1">
      <c r="A1685" s="294"/>
      <c r="B1685" s="294"/>
      <c r="C1685" s="294"/>
      <c r="D1685" s="294"/>
      <c r="E1685" s="294"/>
      <c r="F1685" s="294"/>
      <c r="G1685" s="294"/>
      <c r="H1685" s="294"/>
      <c r="I1685" s="294"/>
      <c r="J1685" s="294"/>
    </row>
    <row r="1686" ht="15.75" customHeight="1">
      <c r="A1686" s="294"/>
      <c r="B1686" s="294"/>
      <c r="C1686" s="294"/>
      <c r="D1686" s="294"/>
      <c r="E1686" s="294"/>
      <c r="F1686" s="294"/>
      <c r="G1686" s="294"/>
      <c r="H1686" s="294"/>
      <c r="I1686" s="294"/>
      <c r="J1686" s="294"/>
    </row>
    <row r="1687" ht="15.75" customHeight="1">
      <c r="A1687" s="294"/>
      <c r="B1687" s="294"/>
      <c r="C1687" s="294"/>
      <c r="D1687" s="294"/>
      <c r="E1687" s="294"/>
      <c r="F1687" s="294"/>
      <c r="G1687" s="294"/>
      <c r="H1687" s="294"/>
      <c r="I1687" s="294"/>
      <c r="J1687" s="294"/>
    </row>
    <row r="1688" ht="15.75" customHeight="1">
      <c r="A1688" s="294"/>
      <c r="B1688" s="294"/>
      <c r="C1688" s="294"/>
      <c r="D1688" s="294"/>
      <c r="E1688" s="294"/>
      <c r="F1688" s="294"/>
      <c r="G1688" s="294"/>
      <c r="H1688" s="294"/>
      <c r="I1688" s="294"/>
      <c r="J1688" s="294"/>
    </row>
    <row r="1689" ht="15.75" customHeight="1">
      <c r="A1689" s="294"/>
      <c r="B1689" s="294"/>
      <c r="C1689" s="294"/>
      <c r="D1689" s="294"/>
      <c r="E1689" s="294"/>
      <c r="F1689" s="294"/>
      <c r="G1689" s="294"/>
      <c r="H1689" s="294"/>
      <c r="I1689" s="294"/>
      <c r="J1689" s="294"/>
    </row>
    <row r="1690" ht="15.75" customHeight="1">
      <c r="A1690" s="294"/>
      <c r="B1690" s="294"/>
      <c r="C1690" s="294"/>
      <c r="D1690" s="294"/>
      <c r="E1690" s="294"/>
      <c r="F1690" s="294"/>
      <c r="G1690" s="294"/>
      <c r="H1690" s="294"/>
      <c r="I1690" s="294"/>
      <c r="J1690" s="294"/>
    </row>
    <row r="1691" ht="15.75" customHeight="1">
      <c r="A1691" s="294"/>
      <c r="B1691" s="294"/>
      <c r="C1691" s="294"/>
      <c r="D1691" s="294"/>
      <c r="E1691" s="294"/>
      <c r="F1691" s="294"/>
      <c r="G1691" s="294"/>
      <c r="H1691" s="294"/>
      <c r="I1691" s="294"/>
      <c r="J1691" s="294"/>
    </row>
    <row r="1692" ht="15.75" customHeight="1">
      <c r="A1692" s="294"/>
      <c r="B1692" s="294"/>
      <c r="C1692" s="294"/>
      <c r="D1692" s="294"/>
      <c r="E1692" s="294"/>
      <c r="F1692" s="294"/>
      <c r="G1692" s="294"/>
      <c r="H1692" s="294"/>
      <c r="I1692" s="294"/>
      <c r="J1692" s="294"/>
    </row>
    <row r="1693" ht="15.75" customHeight="1">
      <c r="A1693" s="294"/>
      <c r="B1693" s="294"/>
      <c r="C1693" s="294"/>
      <c r="D1693" s="294"/>
      <c r="E1693" s="294"/>
      <c r="F1693" s="294"/>
      <c r="G1693" s="294"/>
      <c r="H1693" s="294"/>
      <c r="I1693" s="294"/>
      <c r="J1693" s="294"/>
    </row>
    <row r="1694" ht="15.75" customHeight="1">
      <c r="A1694" s="294"/>
      <c r="B1694" s="294"/>
      <c r="C1694" s="294"/>
      <c r="D1694" s="294"/>
      <c r="E1694" s="294"/>
      <c r="F1694" s="294"/>
      <c r="G1694" s="294"/>
      <c r="H1694" s="294"/>
      <c r="I1694" s="294"/>
      <c r="J1694" s="294"/>
    </row>
    <row r="1695" ht="15.75" customHeight="1">
      <c r="A1695" s="294"/>
      <c r="B1695" s="294"/>
      <c r="C1695" s="294"/>
      <c r="D1695" s="294"/>
      <c r="E1695" s="294"/>
      <c r="F1695" s="294"/>
      <c r="G1695" s="294"/>
      <c r="H1695" s="294"/>
      <c r="I1695" s="294"/>
      <c r="J1695" s="294"/>
    </row>
    <row r="1696" ht="15.75" customHeight="1">
      <c r="A1696" s="294"/>
      <c r="B1696" s="294"/>
      <c r="C1696" s="294"/>
      <c r="D1696" s="294"/>
      <c r="E1696" s="294"/>
      <c r="F1696" s="294"/>
      <c r="G1696" s="294"/>
      <c r="H1696" s="294"/>
      <c r="I1696" s="294"/>
      <c r="J1696" s="294"/>
    </row>
    <row r="1697" ht="15.75" customHeight="1">
      <c r="A1697" s="294"/>
      <c r="B1697" s="294"/>
      <c r="C1697" s="294"/>
      <c r="D1697" s="294"/>
      <c r="E1697" s="294"/>
      <c r="F1697" s="294"/>
      <c r="G1697" s="294"/>
      <c r="H1697" s="294"/>
      <c r="I1697" s="294"/>
      <c r="J1697" s="294"/>
    </row>
    <row r="1698" ht="15.75" customHeight="1">
      <c r="A1698" s="294"/>
      <c r="B1698" s="294"/>
      <c r="C1698" s="294"/>
      <c r="D1698" s="294"/>
      <c r="E1698" s="294"/>
      <c r="F1698" s="294"/>
      <c r="G1698" s="294"/>
      <c r="H1698" s="294"/>
      <c r="I1698" s="294"/>
      <c r="J1698" s="294"/>
    </row>
    <row r="1699" ht="15.75" customHeight="1">
      <c r="A1699" s="294"/>
      <c r="B1699" s="294"/>
      <c r="C1699" s="294"/>
      <c r="D1699" s="294"/>
      <c r="E1699" s="294"/>
      <c r="F1699" s="294"/>
      <c r="G1699" s="294"/>
      <c r="H1699" s="294"/>
      <c r="I1699" s="294"/>
      <c r="J1699" s="294"/>
    </row>
    <row r="1700" ht="15.75" customHeight="1">
      <c r="A1700" s="294"/>
      <c r="B1700" s="294"/>
      <c r="C1700" s="294"/>
      <c r="D1700" s="294"/>
      <c r="E1700" s="294"/>
      <c r="F1700" s="294"/>
      <c r="G1700" s="294"/>
      <c r="H1700" s="294"/>
      <c r="I1700" s="294"/>
      <c r="J1700" s="294"/>
    </row>
    <row r="1701" ht="15.75" customHeight="1">
      <c r="A1701" s="294"/>
      <c r="B1701" s="294"/>
      <c r="C1701" s="294"/>
      <c r="D1701" s="294"/>
      <c r="E1701" s="294"/>
      <c r="F1701" s="294"/>
      <c r="G1701" s="294"/>
      <c r="H1701" s="294"/>
      <c r="I1701" s="294"/>
      <c r="J1701" s="294"/>
    </row>
    <row r="1702" ht="15.75" customHeight="1">
      <c r="A1702" s="294"/>
      <c r="B1702" s="294"/>
      <c r="C1702" s="294"/>
      <c r="D1702" s="294"/>
      <c r="E1702" s="294"/>
      <c r="F1702" s="294"/>
      <c r="G1702" s="294"/>
      <c r="H1702" s="294"/>
      <c r="I1702" s="294"/>
      <c r="J1702" s="294"/>
    </row>
    <row r="1703" ht="15.75" customHeight="1">
      <c r="A1703" s="294"/>
      <c r="B1703" s="294"/>
      <c r="C1703" s="294"/>
      <c r="D1703" s="294"/>
      <c r="E1703" s="294"/>
      <c r="F1703" s="294"/>
      <c r="G1703" s="294"/>
      <c r="H1703" s="294"/>
      <c r="I1703" s="294"/>
      <c r="J1703" s="294"/>
    </row>
    <row r="1704" ht="15.75" customHeight="1">
      <c r="A1704" s="294"/>
      <c r="B1704" s="294"/>
      <c r="C1704" s="294"/>
      <c r="D1704" s="294"/>
      <c r="E1704" s="294"/>
      <c r="F1704" s="294"/>
      <c r="G1704" s="294"/>
      <c r="H1704" s="294"/>
      <c r="I1704" s="294"/>
      <c r="J1704" s="294"/>
    </row>
    <row r="1705" ht="15.75" customHeight="1">
      <c r="A1705" s="294"/>
      <c r="B1705" s="294"/>
      <c r="C1705" s="294"/>
      <c r="D1705" s="294"/>
      <c r="E1705" s="294"/>
      <c r="F1705" s="294"/>
      <c r="G1705" s="294"/>
      <c r="H1705" s="294"/>
      <c r="I1705" s="294"/>
      <c r="J1705" s="294"/>
    </row>
    <row r="1706" ht="15.75" customHeight="1">
      <c r="A1706" s="294"/>
      <c r="B1706" s="294"/>
      <c r="C1706" s="294"/>
      <c r="D1706" s="294"/>
      <c r="E1706" s="294"/>
      <c r="F1706" s="294"/>
      <c r="G1706" s="294"/>
      <c r="H1706" s="294"/>
      <c r="I1706" s="294"/>
      <c r="J1706" s="294"/>
    </row>
    <row r="1707" ht="15.75" customHeight="1">
      <c r="A1707" s="294"/>
      <c r="B1707" s="294"/>
      <c r="C1707" s="294"/>
      <c r="D1707" s="294"/>
      <c r="E1707" s="294"/>
      <c r="F1707" s="294"/>
      <c r="G1707" s="294"/>
      <c r="H1707" s="294"/>
      <c r="I1707" s="294"/>
      <c r="J1707" s="294"/>
    </row>
    <row r="1708" ht="15.75" customHeight="1">
      <c r="A1708" s="294"/>
      <c r="B1708" s="294"/>
      <c r="C1708" s="294"/>
      <c r="D1708" s="294"/>
      <c r="E1708" s="294"/>
      <c r="F1708" s="294"/>
      <c r="G1708" s="294"/>
      <c r="H1708" s="294"/>
      <c r="I1708" s="294"/>
      <c r="J1708" s="294"/>
    </row>
    <row r="1709" ht="15.75" customHeight="1">
      <c r="A1709" s="294"/>
      <c r="B1709" s="294"/>
      <c r="C1709" s="294"/>
      <c r="D1709" s="294"/>
      <c r="E1709" s="294"/>
      <c r="F1709" s="294"/>
      <c r="G1709" s="294"/>
      <c r="H1709" s="294"/>
      <c r="I1709" s="294"/>
      <c r="J1709" s="294"/>
    </row>
    <row r="1710" ht="15.75" customHeight="1">
      <c r="A1710" s="294"/>
      <c r="B1710" s="294"/>
      <c r="C1710" s="294"/>
      <c r="D1710" s="294"/>
      <c r="E1710" s="294"/>
      <c r="F1710" s="294"/>
      <c r="G1710" s="294"/>
      <c r="H1710" s="294"/>
      <c r="I1710" s="294"/>
      <c r="J1710" s="294"/>
    </row>
    <row r="1711" ht="15.75" customHeight="1">
      <c r="A1711" s="294"/>
      <c r="B1711" s="294"/>
      <c r="C1711" s="294"/>
      <c r="D1711" s="294"/>
      <c r="E1711" s="294"/>
      <c r="F1711" s="294"/>
      <c r="G1711" s="294"/>
      <c r="H1711" s="294"/>
      <c r="I1711" s="294"/>
      <c r="J1711" s="294"/>
    </row>
    <row r="1712" ht="15.75" customHeight="1">
      <c r="A1712" s="294"/>
      <c r="B1712" s="294"/>
      <c r="C1712" s="294"/>
      <c r="D1712" s="294"/>
      <c r="E1712" s="294"/>
      <c r="F1712" s="294"/>
      <c r="G1712" s="294"/>
      <c r="H1712" s="294"/>
      <c r="I1712" s="294"/>
      <c r="J1712" s="294"/>
    </row>
    <row r="1713" ht="15.75" customHeight="1">
      <c r="A1713" s="294"/>
      <c r="B1713" s="294"/>
      <c r="C1713" s="294"/>
      <c r="D1713" s="294"/>
      <c r="E1713" s="294"/>
      <c r="F1713" s="294"/>
      <c r="G1713" s="294"/>
      <c r="H1713" s="294"/>
      <c r="I1713" s="294"/>
      <c r="J1713" s="294"/>
    </row>
    <row r="1714" ht="15.75" customHeight="1">
      <c r="A1714" s="294"/>
      <c r="B1714" s="294"/>
      <c r="C1714" s="294"/>
      <c r="D1714" s="294"/>
      <c r="E1714" s="294"/>
      <c r="F1714" s="294"/>
      <c r="G1714" s="294"/>
      <c r="H1714" s="294"/>
      <c r="I1714" s="294"/>
      <c r="J1714" s="294"/>
    </row>
    <row r="1715" ht="15.75" customHeight="1">
      <c r="A1715" s="294"/>
      <c r="B1715" s="294"/>
      <c r="C1715" s="294"/>
      <c r="D1715" s="294"/>
      <c r="E1715" s="294"/>
      <c r="F1715" s="294"/>
      <c r="G1715" s="294"/>
      <c r="H1715" s="294"/>
      <c r="I1715" s="294"/>
      <c r="J1715" s="294"/>
    </row>
    <row r="1716" ht="15.75" customHeight="1">
      <c r="A1716" s="294"/>
      <c r="B1716" s="294"/>
      <c r="C1716" s="294"/>
      <c r="D1716" s="294"/>
      <c r="E1716" s="294"/>
      <c r="F1716" s="294"/>
      <c r="G1716" s="294"/>
      <c r="H1716" s="294"/>
      <c r="I1716" s="294"/>
      <c r="J1716" s="294"/>
    </row>
    <row r="1717" ht="15.75" customHeight="1">
      <c r="A1717" s="294"/>
      <c r="B1717" s="294"/>
      <c r="C1717" s="294"/>
      <c r="D1717" s="294"/>
      <c r="E1717" s="294"/>
      <c r="F1717" s="294"/>
      <c r="G1717" s="294"/>
      <c r="H1717" s="294"/>
      <c r="I1717" s="294"/>
      <c r="J1717" s="294"/>
    </row>
    <row r="1718" ht="15.75" customHeight="1">
      <c r="A1718" s="294"/>
      <c r="B1718" s="294"/>
      <c r="C1718" s="294"/>
      <c r="D1718" s="294"/>
      <c r="E1718" s="294"/>
      <c r="F1718" s="294"/>
      <c r="G1718" s="294"/>
      <c r="H1718" s="294"/>
      <c r="I1718" s="294"/>
      <c r="J1718" s="294"/>
    </row>
    <row r="1719" ht="15.75" customHeight="1">
      <c r="A1719" s="294"/>
      <c r="B1719" s="294"/>
      <c r="C1719" s="294"/>
      <c r="D1719" s="294"/>
      <c r="E1719" s="294"/>
      <c r="F1719" s="294"/>
      <c r="G1719" s="294"/>
      <c r="H1719" s="294"/>
      <c r="I1719" s="294"/>
      <c r="J1719" s="294"/>
    </row>
    <row r="1720" ht="15.75" customHeight="1">
      <c r="A1720" s="294"/>
      <c r="B1720" s="294"/>
      <c r="C1720" s="294"/>
      <c r="D1720" s="294"/>
      <c r="E1720" s="294"/>
      <c r="F1720" s="294"/>
      <c r="G1720" s="294"/>
      <c r="H1720" s="294"/>
      <c r="I1720" s="294"/>
      <c r="J1720" s="294"/>
    </row>
    <row r="1721" ht="15.75" customHeight="1">
      <c r="A1721" s="294"/>
      <c r="B1721" s="294"/>
      <c r="C1721" s="294"/>
      <c r="D1721" s="294"/>
      <c r="E1721" s="294"/>
      <c r="F1721" s="294"/>
      <c r="G1721" s="294"/>
      <c r="H1721" s="294"/>
      <c r="I1721" s="294"/>
      <c r="J1721" s="294"/>
    </row>
    <row r="1722" ht="15.75" customHeight="1">
      <c r="A1722" s="294"/>
      <c r="B1722" s="294"/>
      <c r="C1722" s="294"/>
      <c r="D1722" s="294"/>
      <c r="E1722" s="294"/>
      <c r="F1722" s="294"/>
      <c r="G1722" s="294"/>
      <c r="H1722" s="294"/>
      <c r="I1722" s="294"/>
      <c r="J1722" s="294"/>
    </row>
    <row r="1723" ht="15.75" customHeight="1">
      <c r="A1723" s="294"/>
      <c r="B1723" s="294"/>
      <c r="C1723" s="294"/>
      <c r="D1723" s="294"/>
      <c r="E1723" s="294"/>
      <c r="F1723" s="294"/>
      <c r="G1723" s="294"/>
      <c r="H1723" s="294"/>
      <c r="I1723" s="294"/>
      <c r="J1723" s="294"/>
    </row>
    <row r="1724" ht="15.75" customHeight="1">
      <c r="A1724" s="294"/>
      <c r="B1724" s="294"/>
      <c r="C1724" s="294"/>
      <c r="D1724" s="294"/>
      <c r="E1724" s="294"/>
      <c r="F1724" s="294"/>
      <c r="G1724" s="294"/>
      <c r="H1724" s="294"/>
      <c r="I1724" s="294"/>
      <c r="J1724" s="294"/>
    </row>
    <row r="1725" ht="15.75" customHeight="1">
      <c r="A1725" s="294"/>
      <c r="B1725" s="294"/>
      <c r="C1725" s="294"/>
      <c r="D1725" s="294"/>
      <c r="E1725" s="294"/>
      <c r="F1725" s="294"/>
      <c r="G1725" s="294"/>
      <c r="H1725" s="294"/>
      <c r="I1725" s="294"/>
      <c r="J1725" s="294"/>
    </row>
    <row r="1726" ht="15.75" customHeight="1">
      <c r="A1726" s="294"/>
      <c r="B1726" s="294"/>
      <c r="C1726" s="294"/>
      <c r="D1726" s="294"/>
      <c r="E1726" s="294"/>
      <c r="F1726" s="294"/>
      <c r="G1726" s="294"/>
      <c r="H1726" s="294"/>
      <c r="I1726" s="294"/>
      <c r="J1726" s="294"/>
    </row>
    <row r="1727" ht="15.75" customHeight="1">
      <c r="A1727" s="294"/>
      <c r="B1727" s="294"/>
      <c r="C1727" s="294"/>
      <c r="D1727" s="294"/>
      <c r="E1727" s="294"/>
      <c r="F1727" s="294"/>
      <c r="G1727" s="294"/>
      <c r="H1727" s="294"/>
      <c r="I1727" s="294"/>
      <c r="J1727" s="294"/>
    </row>
    <row r="1728" ht="15.75" customHeight="1">
      <c r="A1728" s="294"/>
      <c r="B1728" s="294"/>
      <c r="C1728" s="294"/>
      <c r="D1728" s="294"/>
      <c r="E1728" s="294"/>
      <c r="F1728" s="294"/>
      <c r="G1728" s="294"/>
      <c r="H1728" s="294"/>
      <c r="I1728" s="294"/>
      <c r="J1728" s="294"/>
    </row>
    <row r="1729" ht="15.75" customHeight="1">
      <c r="A1729" s="294"/>
      <c r="B1729" s="294"/>
      <c r="C1729" s="294"/>
      <c r="D1729" s="294"/>
      <c r="E1729" s="294"/>
      <c r="F1729" s="294"/>
      <c r="G1729" s="294"/>
      <c r="H1729" s="294"/>
      <c r="I1729" s="294"/>
      <c r="J1729" s="294"/>
    </row>
    <row r="1730" ht="15.75" customHeight="1">
      <c r="A1730" s="294"/>
      <c r="B1730" s="294"/>
      <c r="C1730" s="294"/>
      <c r="D1730" s="294"/>
      <c r="E1730" s="294"/>
      <c r="F1730" s="294"/>
      <c r="G1730" s="294"/>
      <c r="H1730" s="294"/>
      <c r="I1730" s="294"/>
      <c r="J1730" s="294"/>
    </row>
    <row r="1731" ht="15.75" customHeight="1">
      <c r="A1731" s="294"/>
      <c r="B1731" s="294"/>
      <c r="C1731" s="294"/>
      <c r="D1731" s="294"/>
      <c r="E1731" s="294"/>
      <c r="F1731" s="294"/>
      <c r="G1731" s="294"/>
      <c r="H1731" s="294"/>
      <c r="I1731" s="294"/>
      <c r="J1731" s="294"/>
    </row>
    <row r="1732" ht="15.75" customHeight="1">
      <c r="A1732" s="294"/>
      <c r="B1732" s="294"/>
      <c r="C1732" s="294"/>
      <c r="D1732" s="294"/>
      <c r="E1732" s="294"/>
      <c r="F1732" s="294"/>
      <c r="G1732" s="294"/>
      <c r="H1732" s="294"/>
      <c r="I1732" s="294"/>
      <c r="J1732" s="294"/>
    </row>
    <row r="1733" ht="15.75" customHeight="1">
      <c r="A1733" s="294"/>
      <c r="B1733" s="294"/>
      <c r="C1733" s="294"/>
      <c r="D1733" s="294"/>
      <c r="E1733" s="294"/>
      <c r="F1733" s="294"/>
      <c r="G1733" s="294"/>
      <c r="H1733" s="294"/>
      <c r="I1733" s="294"/>
      <c r="J1733" s="294"/>
    </row>
    <row r="1734" ht="15.75" customHeight="1">
      <c r="A1734" s="294"/>
      <c r="B1734" s="294"/>
      <c r="C1734" s="294"/>
      <c r="D1734" s="294"/>
      <c r="E1734" s="294"/>
      <c r="F1734" s="294"/>
      <c r="G1734" s="294"/>
      <c r="H1734" s="294"/>
      <c r="I1734" s="294"/>
      <c r="J1734" s="294"/>
    </row>
    <row r="1735" ht="15.75" customHeight="1">
      <c r="A1735" s="294"/>
      <c r="B1735" s="294"/>
      <c r="C1735" s="294"/>
      <c r="D1735" s="294"/>
      <c r="E1735" s="294"/>
      <c r="F1735" s="294"/>
      <c r="G1735" s="294"/>
      <c r="H1735" s="294"/>
      <c r="I1735" s="294"/>
      <c r="J1735" s="294"/>
    </row>
    <row r="1736" ht="15.75" customHeight="1">
      <c r="A1736" s="294"/>
      <c r="B1736" s="294"/>
      <c r="C1736" s="294"/>
      <c r="D1736" s="294"/>
      <c r="E1736" s="294"/>
      <c r="F1736" s="294"/>
      <c r="G1736" s="294"/>
      <c r="H1736" s="294"/>
      <c r="I1736" s="294"/>
      <c r="J1736" s="294"/>
    </row>
    <row r="1737" ht="15.75" customHeight="1">
      <c r="A1737" s="294"/>
      <c r="B1737" s="294"/>
      <c r="C1737" s="294"/>
      <c r="D1737" s="294"/>
      <c r="E1737" s="294"/>
      <c r="F1737" s="294"/>
      <c r="G1737" s="294"/>
      <c r="H1737" s="294"/>
      <c r="I1737" s="294"/>
      <c r="J1737" s="294"/>
    </row>
    <row r="1738" ht="15.75" customHeight="1">
      <c r="A1738" s="294"/>
      <c r="B1738" s="294"/>
      <c r="C1738" s="294"/>
      <c r="D1738" s="294"/>
      <c r="E1738" s="294"/>
      <c r="F1738" s="294"/>
      <c r="G1738" s="294"/>
      <c r="H1738" s="294"/>
      <c r="I1738" s="294"/>
      <c r="J1738" s="294"/>
    </row>
    <row r="1739" ht="15.75" customHeight="1">
      <c r="A1739" s="294"/>
      <c r="B1739" s="294"/>
      <c r="C1739" s="294"/>
      <c r="D1739" s="294"/>
      <c r="E1739" s="294"/>
      <c r="F1739" s="294"/>
      <c r="G1739" s="294"/>
      <c r="H1739" s="294"/>
      <c r="I1739" s="294"/>
      <c r="J1739" s="294"/>
    </row>
    <row r="1740" ht="15.75" customHeight="1">
      <c r="A1740" s="294"/>
      <c r="B1740" s="294"/>
      <c r="C1740" s="294"/>
      <c r="D1740" s="294"/>
      <c r="E1740" s="294"/>
      <c r="F1740" s="294"/>
      <c r="G1740" s="294"/>
      <c r="H1740" s="294"/>
      <c r="I1740" s="294"/>
      <c r="J1740" s="294"/>
    </row>
    <row r="1741" ht="15.75" customHeight="1">
      <c r="A1741" s="294"/>
      <c r="B1741" s="294"/>
      <c r="C1741" s="294"/>
      <c r="D1741" s="294"/>
      <c r="E1741" s="294"/>
      <c r="F1741" s="294"/>
      <c r="G1741" s="294"/>
      <c r="H1741" s="294"/>
      <c r="I1741" s="294"/>
      <c r="J1741" s="294"/>
    </row>
    <row r="1742" ht="15.75" customHeight="1">
      <c r="A1742" s="294"/>
      <c r="B1742" s="294"/>
      <c r="C1742" s="294"/>
      <c r="D1742" s="294"/>
      <c r="E1742" s="294"/>
      <c r="F1742" s="294"/>
      <c r="G1742" s="294"/>
      <c r="H1742" s="294"/>
      <c r="I1742" s="294"/>
      <c r="J1742" s="294"/>
    </row>
    <row r="1743" ht="15.75" customHeight="1">
      <c r="A1743" s="294"/>
      <c r="B1743" s="294"/>
      <c r="C1743" s="294"/>
      <c r="D1743" s="294"/>
      <c r="E1743" s="294"/>
      <c r="F1743" s="294"/>
      <c r="G1743" s="294"/>
      <c r="H1743" s="294"/>
      <c r="I1743" s="294"/>
      <c r="J1743" s="294"/>
    </row>
    <row r="1744" ht="15.75" customHeight="1">
      <c r="A1744" s="294"/>
      <c r="B1744" s="294"/>
      <c r="C1744" s="294"/>
      <c r="D1744" s="294"/>
      <c r="E1744" s="294"/>
      <c r="F1744" s="294"/>
      <c r="G1744" s="294"/>
      <c r="H1744" s="294"/>
      <c r="I1744" s="294"/>
      <c r="J1744" s="294"/>
    </row>
    <row r="1745" ht="15.75" customHeight="1">
      <c r="A1745" s="294"/>
      <c r="B1745" s="294"/>
      <c r="C1745" s="294"/>
      <c r="D1745" s="294"/>
      <c r="E1745" s="294"/>
      <c r="F1745" s="294"/>
      <c r="G1745" s="294"/>
      <c r="H1745" s="294"/>
      <c r="I1745" s="294"/>
      <c r="J1745" s="294"/>
    </row>
    <row r="1746" ht="15.75" customHeight="1">
      <c r="A1746" s="294"/>
      <c r="B1746" s="294"/>
      <c r="C1746" s="294"/>
      <c r="D1746" s="294"/>
      <c r="E1746" s="294"/>
      <c r="F1746" s="294"/>
      <c r="G1746" s="294"/>
      <c r="H1746" s="294"/>
      <c r="I1746" s="294"/>
      <c r="J1746" s="294"/>
    </row>
    <row r="1747" ht="15.75" customHeight="1">
      <c r="A1747" s="294"/>
      <c r="B1747" s="294"/>
      <c r="C1747" s="294"/>
      <c r="D1747" s="294"/>
      <c r="E1747" s="294"/>
      <c r="F1747" s="294"/>
      <c r="G1747" s="294"/>
      <c r="H1747" s="294"/>
      <c r="I1747" s="294"/>
      <c r="J1747" s="294"/>
    </row>
    <row r="1748" ht="15.75" customHeight="1">
      <c r="A1748" s="294"/>
      <c r="B1748" s="294"/>
      <c r="C1748" s="294"/>
      <c r="D1748" s="294"/>
      <c r="E1748" s="294"/>
      <c r="F1748" s="294"/>
      <c r="G1748" s="294"/>
      <c r="H1748" s="294"/>
      <c r="I1748" s="294"/>
      <c r="J1748" s="294"/>
    </row>
    <row r="1749" ht="15.75" customHeight="1">
      <c r="A1749" s="294"/>
      <c r="B1749" s="294"/>
      <c r="C1749" s="294"/>
      <c r="D1749" s="294"/>
      <c r="E1749" s="294"/>
      <c r="F1749" s="294"/>
      <c r="G1749" s="294"/>
      <c r="H1749" s="294"/>
      <c r="I1749" s="294"/>
      <c r="J1749" s="294"/>
    </row>
    <row r="1750" ht="15.75" customHeight="1">
      <c r="A1750" s="294"/>
      <c r="B1750" s="294"/>
      <c r="C1750" s="294"/>
      <c r="D1750" s="294"/>
      <c r="E1750" s="294"/>
      <c r="F1750" s="294"/>
      <c r="G1750" s="294"/>
      <c r="H1750" s="294"/>
      <c r="I1750" s="294"/>
      <c r="J1750" s="294"/>
    </row>
    <row r="1751" ht="15.75" customHeight="1">
      <c r="A1751" s="294"/>
      <c r="B1751" s="294"/>
      <c r="C1751" s="294"/>
      <c r="D1751" s="294"/>
      <c r="E1751" s="294"/>
      <c r="F1751" s="294"/>
      <c r="G1751" s="294"/>
      <c r="H1751" s="294"/>
      <c r="I1751" s="294"/>
      <c r="J1751" s="294"/>
    </row>
    <row r="1752" ht="15.75" customHeight="1">
      <c r="A1752" s="294"/>
      <c r="B1752" s="294"/>
      <c r="C1752" s="294"/>
      <c r="D1752" s="294"/>
      <c r="E1752" s="294"/>
      <c r="F1752" s="294"/>
      <c r="G1752" s="294"/>
      <c r="H1752" s="294"/>
      <c r="I1752" s="294"/>
      <c r="J1752" s="294"/>
    </row>
    <row r="1753" ht="15.75" customHeight="1">
      <c r="A1753" s="294"/>
      <c r="B1753" s="294"/>
      <c r="C1753" s="294"/>
      <c r="D1753" s="294"/>
      <c r="E1753" s="294"/>
      <c r="F1753" s="294"/>
      <c r="G1753" s="294"/>
      <c r="H1753" s="294"/>
      <c r="I1753" s="294"/>
      <c r="J1753" s="294"/>
    </row>
    <row r="1754" ht="15.75" customHeight="1">
      <c r="A1754" s="294"/>
      <c r="B1754" s="294"/>
      <c r="C1754" s="294"/>
      <c r="D1754" s="294"/>
      <c r="E1754" s="294"/>
      <c r="F1754" s="294"/>
      <c r="G1754" s="294"/>
      <c r="H1754" s="294"/>
      <c r="I1754" s="294"/>
      <c r="J1754" s="294"/>
    </row>
    <row r="1755" ht="15.75" customHeight="1">
      <c r="A1755" s="294"/>
      <c r="B1755" s="294"/>
      <c r="C1755" s="294"/>
      <c r="D1755" s="294"/>
      <c r="E1755" s="294"/>
      <c r="F1755" s="294"/>
      <c r="G1755" s="294"/>
      <c r="H1755" s="294"/>
      <c r="I1755" s="294"/>
      <c r="J1755" s="294"/>
    </row>
    <row r="1756" ht="15.75" customHeight="1">
      <c r="A1756" s="294"/>
      <c r="B1756" s="294"/>
      <c r="C1756" s="294"/>
      <c r="D1756" s="294"/>
      <c r="E1756" s="294"/>
      <c r="F1756" s="294"/>
      <c r="G1756" s="294"/>
      <c r="H1756" s="294"/>
      <c r="I1756" s="294"/>
      <c r="J1756" s="294"/>
    </row>
    <row r="1757" ht="15.75" customHeight="1">
      <c r="A1757" s="294"/>
      <c r="B1757" s="294"/>
      <c r="C1757" s="294"/>
      <c r="D1757" s="294"/>
      <c r="E1757" s="294"/>
      <c r="F1757" s="294"/>
      <c r="G1757" s="294"/>
      <c r="H1757" s="294"/>
      <c r="I1757" s="294"/>
      <c r="J1757" s="294"/>
    </row>
    <row r="1758" ht="15.75" customHeight="1">
      <c r="A1758" s="294"/>
      <c r="B1758" s="294"/>
      <c r="C1758" s="294"/>
      <c r="D1758" s="294"/>
      <c r="E1758" s="294"/>
      <c r="F1758" s="294"/>
      <c r="G1758" s="294"/>
      <c r="H1758" s="294"/>
      <c r="I1758" s="294"/>
      <c r="J1758" s="294"/>
    </row>
    <row r="1759" ht="15.75" customHeight="1">
      <c r="A1759" s="294"/>
      <c r="B1759" s="294"/>
      <c r="C1759" s="294"/>
      <c r="D1759" s="294"/>
      <c r="E1759" s="294"/>
      <c r="F1759" s="294"/>
      <c r="G1759" s="294"/>
      <c r="H1759" s="294"/>
      <c r="I1759" s="294"/>
      <c r="J1759" s="294"/>
    </row>
    <row r="1760" ht="15.75" customHeight="1">
      <c r="A1760" s="294"/>
      <c r="B1760" s="294"/>
      <c r="C1760" s="294"/>
      <c r="D1760" s="294"/>
      <c r="E1760" s="294"/>
      <c r="F1760" s="294"/>
      <c r="G1760" s="294"/>
      <c r="H1760" s="294"/>
      <c r="I1760" s="294"/>
      <c r="J1760" s="294"/>
    </row>
    <row r="1761" ht="15.75" customHeight="1">
      <c r="A1761" s="294"/>
      <c r="B1761" s="294"/>
      <c r="C1761" s="294"/>
      <c r="D1761" s="294"/>
      <c r="E1761" s="294"/>
      <c r="F1761" s="294"/>
      <c r="G1761" s="294"/>
      <c r="H1761" s="294"/>
      <c r="I1761" s="294"/>
      <c r="J1761" s="294"/>
    </row>
    <row r="1762" ht="15.75" customHeight="1">
      <c r="A1762" s="294"/>
      <c r="B1762" s="294"/>
      <c r="C1762" s="294"/>
      <c r="D1762" s="294"/>
      <c r="E1762" s="294"/>
      <c r="F1762" s="294"/>
      <c r="G1762" s="294"/>
      <c r="H1762" s="294"/>
      <c r="I1762" s="294"/>
      <c r="J1762" s="294"/>
    </row>
    <row r="1763" ht="15.75" customHeight="1">
      <c r="A1763" s="294"/>
      <c r="B1763" s="294"/>
      <c r="C1763" s="294"/>
      <c r="D1763" s="294"/>
      <c r="E1763" s="294"/>
      <c r="F1763" s="294"/>
      <c r="G1763" s="294"/>
      <c r="H1763" s="294"/>
      <c r="I1763" s="294"/>
      <c r="J1763" s="294"/>
    </row>
    <row r="1764" ht="15.75" customHeight="1">
      <c r="A1764" s="294"/>
      <c r="B1764" s="294"/>
      <c r="C1764" s="294"/>
      <c r="D1764" s="294"/>
      <c r="E1764" s="294"/>
      <c r="F1764" s="294"/>
      <c r="G1764" s="294"/>
      <c r="H1764" s="294"/>
      <c r="I1764" s="294"/>
      <c r="J1764" s="294"/>
    </row>
    <row r="1765" ht="15.75" customHeight="1">
      <c r="A1765" s="294"/>
      <c r="B1765" s="294"/>
      <c r="C1765" s="294"/>
      <c r="D1765" s="294"/>
      <c r="E1765" s="294"/>
      <c r="F1765" s="294"/>
      <c r="G1765" s="294"/>
      <c r="H1765" s="294"/>
      <c r="I1765" s="294"/>
      <c r="J1765" s="294"/>
    </row>
    <row r="1766" ht="15.75" customHeight="1">
      <c r="A1766" s="294"/>
      <c r="B1766" s="294"/>
      <c r="C1766" s="294"/>
      <c r="D1766" s="294"/>
      <c r="E1766" s="294"/>
      <c r="F1766" s="294"/>
      <c r="G1766" s="294"/>
      <c r="H1766" s="294"/>
      <c r="I1766" s="294"/>
      <c r="J1766" s="294"/>
    </row>
    <row r="1767" ht="15.75" customHeight="1">
      <c r="A1767" s="294"/>
      <c r="B1767" s="294"/>
      <c r="C1767" s="294"/>
      <c r="D1767" s="294"/>
      <c r="E1767" s="294"/>
      <c r="F1767" s="294"/>
      <c r="G1767" s="294"/>
      <c r="H1767" s="294"/>
      <c r="I1767" s="294"/>
      <c r="J1767" s="294"/>
    </row>
    <row r="1768" ht="15.75" customHeight="1">
      <c r="A1768" s="294"/>
      <c r="B1768" s="294"/>
      <c r="C1768" s="294"/>
      <c r="D1768" s="294"/>
      <c r="E1768" s="294"/>
      <c r="F1768" s="294"/>
      <c r="G1768" s="294"/>
      <c r="H1768" s="294"/>
      <c r="I1768" s="294"/>
      <c r="J1768" s="294"/>
    </row>
    <row r="1769" ht="15.75" customHeight="1">
      <c r="A1769" s="294"/>
      <c r="B1769" s="294"/>
      <c r="C1769" s="294"/>
      <c r="D1769" s="294"/>
      <c r="E1769" s="294"/>
      <c r="F1769" s="294"/>
      <c r="G1769" s="294"/>
      <c r="H1769" s="294"/>
      <c r="I1769" s="294"/>
      <c r="J1769" s="294"/>
    </row>
    <row r="1770" ht="15.75" customHeight="1">
      <c r="A1770" s="294"/>
      <c r="B1770" s="294"/>
      <c r="C1770" s="294"/>
      <c r="D1770" s="294"/>
      <c r="E1770" s="294"/>
      <c r="F1770" s="294"/>
      <c r="G1770" s="294"/>
      <c r="H1770" s="294"/>
      <c r="I1770" s="294"/>
      <c r="J1770" s="294"/>
    </row>
    <row r="1771" ht="15.75" customHeight="1">
      <c r="A1771" s="294"/>
      <c r="B1771" s="294"/>
      <c r="C1771" s="294"/>
      <c r="D1771" s="294"/>
      <c r="E1771" s="294"/>
      <c r="F1771" s="294"/>
      <c r="G1771" s="294"/>
      <c r="H1771" s="294"/>
      <c r="I1771" s="294"/>
      <c r="J1771" s="294"/>
    </row>
    <row r="1772" ht="15.75" customHeight="1">
      <c r="A1772" s="294"/>
      <c r="B1772" s="294"/>
      <c r="C1772" s="294"/>
      <c r="D1772" s="294"/>
      <c r="E1772" s="294"/>
      <c r="F1772" s="294"/>
      <c r="G1772" s="294"/>
      <c r="H1772" s="294"/>
      <c r="I1772" s="294"/>
      <c r="J1772" s="294"/>
    </row>
    <row r="1773" ht="15.75" customHeight="1">
      <c r="A1773" s="294"/>
      <c r="B1773" s="294"/>
      <c r="C1773" s="294"/>
      <c r="D1773" s="294"/>
      <c r="E1773" s="294"/>
      <c r="F1773" s="294"/>
      <c r="G1773" s="294"/>
      <c r="H1773" s="294"/>
      <c r="I1773" s="294"/>
      <c r="J1773" s="294"/>
    </row>
    <row r="1774" ht="15.75" customHeight="1">
      <c r="A1774" s="294"/>
      <c r="B1774" s="294"/>
      <c r="C1774" s="294"/>
      <c r="D1774" s="294"/>
      <c r="E1774" s="294"/>
      <c r="F1774" s="294"/>
      <c r="G1774" s="294"/>
      <c r="H1774" s="294"/>
      <c r="I1774" s="294"/>
      <c r="J1774" s="294"/>
    </row>
    <row r="1775" ht="15.75" customHeight="1">
      <c r="A1775" s="294"/>
      <c r="B1775" s="294"/>
      <c r="C1775" s="294"/>
      <c r="D1775" s="294"/>
      <c r="E1775" s="294"/>
      <c r="F1775" s="294"/>
      <c r="G1775" s="294"/>
      <c r="H1775" s="294"/>
      <c r="I1775" s="294"/>
      <c r="J1775" s="294"/>
    </row>
    <row r="1776" ht="15.75" customHeight="1">
      <c r="A1776" s="294"/>
      <c r="B1776" s="294"/>
      <c r="C1776" s="294"/>
      <c r="D1776" s="294"/>
      <c r="E1776" s="294"/>
      <c r="F1776" s="294"/>
      <c r="G1776" s="294"/>
      <c r="H1776" s="294"/>
      <c r="I1776" s="294"/>
      <c r="J1776" s="294"/>
    </row>
    <row r="1777" ht="15.75" customHeight="1">
      <c r="A1777" s="294"/>
      <c r="B1777" s="294"/>
      <c r="C1777" s="294"/>
      <c r="D1777" s="294"/>
      <c r="E1777" s="294"/>
      <c r="F1777" s="294"/>
      <c r="G1777" s="294"/>
      <c r="H1777" s="294"/>
      <c r="I1777" s="294"/>
      <c r="J1777" s="294"/>
    </row>
    <row r="1778" ht="15.75" customHeight="1">
      <c r="A1778" s="294"/>
      <c r="B1778" s="294"/>
      <c r="C1778" s="294"/>
      <c r="D1778" s="294"/>
      <c r="E1778" s="294"/>
      <c r="F1778" s="294"/>
      <c r="G1778" s="294"/>
      <c r="H1778" s="294"/>
      <c r="I1778" s="294"/>
      <c r="J1778" s="294"/>
    </row>
    <row r="1779" ht="15.75" customHeight="1">
      <c r="A1779" s="294"/>
      <c r="B1779" s="294"/>
      <c r="C1779" s="294"/>
      <c r="D1779" s="294"/>
      <c r="E1779" s="294"/>
      <c r="F1779" s="294"/>
      <c r="G1779" s="294"/>
      <c r="H1779" s="294"/>
      <c r="I1779" s="294"/>
      <c r="J1779" s="294"/>
    </row>
    <row r="1780" ht="15.75" customHeight="1">
      <c r="A1780" s="294"/>
      <c r="B1780" s="294"/>
      <c r="C1780" s="294"/>
      <c r="D1780" s="294"/>
      <c r="E1780" s="294"/>
      <c r="F1780" s="294"/>
      <c r="G1780" s="294"/>
      <c r="H1780" s="294"/>
      <c r="I1780" s="294"/>
      <c r="J1780" s="294"/>
    </row>
    <row r="1781" ht="15.75" customHeight="1">
      <c r="A1781" s="294"/>
      <c r="B1781" s="294"/>
      <c r="C1781" s="294"/>
      <c r="D1781" s="294"/>
      <c r="E1781" s="294"/>
      <c r="F1781" s="294"/>
      <c r="G1781" s="294"/>
      <c r="H1781" s="294"/>
      <c r="I1781" s="294"/>
      <c r="J1781" s="294"/>
    </row>
    <row r="1782" ht="15.75" customHeight="1">
      <c r="A1782" s="294"/>
      <c r="B1782" s="294"/>
      <c r="C1782" s="294"/>
      <c r="D1782" s="294"/>
      <c r="E1782" s="294"/>
      <c r="F1782" s="294"/>
      <c r="G1782" s="294"/>
      <c r="H1782" s="294"/>
      <c r="I1782" s="294"/>
      <c r="J1782" s="294"/>
    </row>
    <row r="1783" ht="15.75" customHeight="1">
      <c r="A1783" s="294"/>
      <c r="B1783" s="294"/>
      <c r="C1783" s="294"/>
      <c r="D1783" s="294"/>
      <c r="E1783" s="294"/>
      <c r="F1783" s="294"/>
      <c r="G1783" s="294"/>
      <c r="H1783" s="294"/>
      <c r="I1783" s="294"/>
      <c r="J1783" s="294"/>
    </row>
    <row r="1784" ht="15.75" customHeight="1">
      <c r="A1784" s="294"/>
      <c r="B1784" s="294"/>
      <c r="C1784" s="294"/>
      <c r="D1784" s="294"/>
      <c r="E1784" s="294"/>
      <c r="F1784" s="294"/>
      <c r="G1784" s="294"/>
      <c r="H1784" s="294"/>
      <c r="I1784" s="294"/>
      <c r="J1784" s="294"/>
    </row>
    <row r="1785" ht="15.75" customHeight="1">
      <c r="A1785" s="294"/>
      <c r="B1785" s="294"/>
      <c r="C1785" s="294"/>
      <c r="D1785" s="294"/>
      <c r="E1785" s="294"/>
      <c r="F1785" s="294"/>
      <c r="G1785" s="294"/>
      <c r="H1785" s="294"/>
      <c r="I1785" s="294"/>
      <c r="J1785" s="294"/>
    </row>
    <row r="1786" ht="15.75" customHeight="1">
      <c r="A1786" s="294"/>
      <c r="B1786" s="294"/>
      <c r="C1786" s="294"/>
      <c r="D1786" s="294"/>
      <c r="E1786" s="294"/>
      <c r="F1786" s="294"/>
      <c r="G1786" s="294"/>
      <c r="H1786" s="294"/>
      <c r="I1786" s="294"/>
      <c r="J1786" s="294"/>
    </row>
    <row r="1787" ht="15.75" customHeight="1">
      <c r="A1787" s="294"/>
      <c r="B1787" s="294"/>
      <c r="C1787" s="294"/>
      <c r="D1787" s="294"/>
      <c r="E1787" s="294"/>
      <c r="F1787" s="294"/>
      <c r="G1787" s="294"/>
      <c r="H1787" s="294"/>
      <c r="I1787" s="294"/>
      <c r="J1787" s="294"/>
    </row>
    <row r="1788" ht="15.75" customHeight="1">
      <c r="A1788" s="294"/>
      <c r="B1788" s="294"/>
      <c r="C1788" s="294"/>
      <c r="D1788" s="294"/>
      <c r="E1788" s="294"/>
      <c r="F1788" s="294"/>
      <c r="G1788" s="294"/>
      <c r="H1788" s="294"/>
      <c r="I1788" s="294"/>
      <c r="J1788" s="294"/>
    </row>
    <row r="1789" ht="15.75" customHeight="1">
      <c r="A1789" s="294"/>
      <c r="B1789" s="294"/>
      <c r="C1789" s="294"/>
      <c r="D1789" s="294"/>
      <c r="E1789" s="294"/>
      <c r="F1789" s="294"/>
      <c r="G1789" s="294"/>
      <c r="H1789" s="294"/>
      <c r="I1789" s="294"/>
      <c r="J1789" s="294"/>
    </row>
    <row r="1790" ht="15.75" customHeight="1">
      <c r="A1790" s="294"/>
      <c r="B1790" s="294"/>
      <c r="C1790" s="294"/>
      <c r="D1790" s="294"/>
      <c r="E1790" s="294"/>
      <c r="F1790" s="294"/>
      <c r="G1790" s="294"/>
      <c r="H1790" s="294"/>
      <c r="I1790" s="294"/>
      <c r="J1790" s="294"/>
    </row>
    <row r="1791" ht="15.75" customHeight="1">
      <c r="A1791" s="294"/>
      <c r="B1791" s="294"/>
      <c r="C1791" s="294"/>
      <c r="D1791" s="294"/>
      <c r="E1791" s="294"/>
      <c r="F1791" s="294"/>
      <c r="G1791" s="294"/>
      <c r="H1791" s="294"/>
      <c r="I1791" s="294"/>
      <c r="J1791" s="294"/>
    </row>
    <row r="1792" ht="15.75" customHeight="1">
      <c r="A1792" s="294"/>
      <c r="B1792" s="294"/>
      <c r="C1792" s="294"/>
      <c r="D1792" s="294"/>
      <c r="E1792" s="294"/>
      <c r="F1792" s="294"/>
      <c r="G1792" s="294"/>
      <c r="H1792" s="294"/>
      <c r="I1792" s="294"/>
      <c r="J1792" s="294"/>
    </row>
    <row r="1793" ht="15.75" customHeight="1">
      <c r="A1793" s="294"/>
      <c r="B1793" s="294"/>
      <c r="C1793" s="294"/>
      <c r="D1793" s="294"/>
      <c r="E1793" s="294"/>
      <c r="F1793" s="294"/>
      <c r="G1793" s="294"/>
      <c r="H1793" s="294"/>
      <c r="I1793" s="294"/>
      <c r="J1793" s="294"/>
    </row>
    <row r="1794" ht="15.75" customHeight="1">
      <c r="A1794" s="294"/>
      <c r="B1794" s="294"/>
      <c r="C1794" s="294"/>
      <c r="D1794" s="294"/>
      <c r="E1794" s="294"/>
      <c r="F1794" s="294"/>
      <c r="G1794" s="294"/>
      <c r="H1794" s="294"/>
      <c r="I1794" s="294"/>
      <c r="J1794" s="294"/>
    </row>
    <row r="1795" ht="15.75" customHeight="1">
      <c r="A1795" s="294"/>
      <c r="B1795" s="294"/>
      <c r="C1795" s="294"/>
      <c r="D1795" s="294"/>
      <c r="E1795" s="294"/>
      <c r="F1795" s="294"/>
      <c r="G1795" s="294"/>
      <c r="H1795" s="294"/>
      <c r="I1795" s="294"/>
      <c r="J1795" s="294"/>
    </row>
    <row r="1796" ht="15.75" customHeight="1">
      <c r="A1796" s="294"/>
      <c r="B1796" s="294"/>
      <c r="C1796" s="294"/>
      <c r="D1796" s="294"/>
      <c r="E1796" s="294"/>
      <c r="F1796" s="294"/>
      <c r="G1796" s="294"/>
      <c r="H1796" s="294"/>
      <c r="I1796" s="294"/>
      <c r="J1796" s="294"/>
    </row>
    <row r="1797" ht="15.75" customHeight="1">
      <c r="A1797" s="294"/>
      <c r="B1797" s="294"/>
      <c r="C1797" s="294"/>
      <c r="D1797" s="294"/>
      <c r="E1797" s="294"/>
      <c r="F1797" s="294"/>
      <c r="G1797" s="294"/>
      <c r="H1797" s="294"/>
      <c r="I1797" s="294"/>
      <c r="J1797" s="294"/>
    </row>
    <row r="1798" ht="15.75" customHeight="1">
      <c r="A1798" s="294"/>
      <c r="B1798" s="294"/>
      <c r="C1798" s="294"/>
      <c r="D1798" s="294"/>
      <c r="E1798" s="294"/>
      <c r="F1798" s="294"/>
      <c r="G1798" s="294"/>
      <c r="H1798" s="294"/>
      <c r="I1798" s="294"/>
      <c r="J1798" s="294"/>
    </row>
    <row r="1799" ht="15.75" customHeight="1">
      <c r="A1799" s="294"/>
      <c r="B1799" s="294"/>
      <c r="C1799" s="294"/>
      <c r="D1799" s="294"/>
      <c r="E1799" s="294"/>
      <c r="F1799" s="294"/>
      <c r="G1799" s="294"/>
      <c r="H1799" s="294"/>
      <c r="I1799" s="294"/>
      <c r="J1799" s="294"/>
    </row>
    <row r="1800" ht="15.75" customHeight="1">
      <c r="A1800" s="294"/>
      <c r="B1800" s="294"/>
      <c r="C1800" s="294"/>
      <c r="D1800" s="294"/>
      <c r="E1800" s="294"/>
      <c r="F1800" s="294"/>
      <c r="G1800" s="294"/>
      <c r="H1800" s="294"/>
      <c r="I1800" s="294"/>
      <c r="J1800" s="294"/>
    </row>
    <row r="1801" ht="15.75" customHeight="1">
      <c r="A1801" s="294"/>
      <c r="B1801" s="294"/>
      <c r="C1801" s="294"/>
      <c r="D1801" s="294"/>
      <c r="E1801" s="294"/>
      <c r="F1801" s="294"/>
      <c r="G1801" s="294"/>
      <c r="H1801" s="294"/>
      <c r="I1801" s="294"/>
      <c r="J1801" s="294"/>
    </row>
    <row r="1802" ht="15.75" customHeight="1">
      <c r="A1802" s="294"/>
      <c r="B1802" s="294"/>
      <c r="C1802" s="294"/>
      <c r="D1802" s="294"/>
      <c r="E1802" s="294"/>
      <c r="F1802" s="294"/>
      <c r="G1802" s="294"/>
      <c r="H1802" s="294"/>
      <c r="I1802" s="294"/>
      <c r="J1802" s="294"/>
    </row>
    <row r="1803" ht="15.75" customHeight="1">
      <c r="A1803" s="294"/>
      <c r="B1803" s="294"/>
      <c r="C1803" s="294"/>
      <c r="D1803" s="294"/>
      <c r="E1803" s="294"/>
      <c r="F1803" s="294"/>
      <c r="G1803" s="294"/>
      <c r="H1803" s="294"/>
      <c r="I1803" s="294"/>
      <c r="J1803" s="294"/>
    </row>
    <row r="1804" ht="15.75" customHeight="1">
      <c r="A1804" s="294"/>
      <c r="B1804" s="294"/>
      <c r="C1804" s="294"/>
      <c r="D1804" s="294"/>
      <c r="E1804" s="294"/>
      <c r="F1804" s="294"/>
      <c r="G1804" s="294"/>
      <c r="H1804" s="294"/>
      <c r="I1804" s="294"/>
      <c r="J1804" s="294"/>
    </row>
    <row r="1805" ht="15.75" customHeight="1">
      <c r="A1805" s="294"/>
      <c r="B1805" s="294"/>
      <c r="C1805" s="294"/>
      <c r="D1805" s="294"/>
      <c r="E1805" s="294"/>
      <c r="F1805" s="294"/>
      <c r="G1805" s="294"/>
      <c r="H1805" s="294"/>
      <c r="I1805" s="294"/>
      <c r="J1805" s="294"/>
    </row>
    <row r="1806" ht="15.75" customHeight="1">
      <c r="A1806" s="294"/>
      <c r="B1806" s="294"/>
      <c r="C1806" s="294"/>
      <c r="D1806" s="294"/>
      <c r="E1806" s="294"/>
      <c r="F1806" s="294"/>
      <c r="G1806" s="294"/>
      <c r="H1806" s="294"/>
      <c r="I1806" s="294"/>
      <c r="J1806" s="294"/>
    </row>
    <row r="1807" ht="15.75" customHeight="1">
      <c r="A1807" s="294"/>
      <c r="B1807" s="294"/>
      <c r="C1807" s="294"/>
      <c r="D1807" s="294"/>
      <c r="E1807" s="294"/>
      <c r="F1807" s="294"/>
      <c r="G1807" s="294"/>
      <c r="H1807" s="294"/>
      <c r="I1807" s="294"/>
      <c r="J1807" s="294"/>
    </row>
    <row r="1808" ht="15.75" customHeight="1">
      <c r="A1808" s="294"/>
      <c r="B1808" s="294"/>
      <c r="C1808" s="294"/>
      <c r="D1808" s="294"/>
      <c r="E1808" s="294"/>
      <c r="F1808" s="294"/>
      <c r="G1808" s="294"/>
      <c r="H1808" s="294"/>
      <c r="I1808" s="294"/>
      <c r="J1808" s="294"/>
    </row>
    <row r="1809" ht="15.75" customHeight="1">
      <c r="A1809" s="294"/>
      <c r="B1809" s="294"/>
      <c r="C1809" s="294"/>
      <c r="D1809" s="294"/>
      <c r="E1809" s="294"/>
      <c r="F1809" s="294"/>
      <c r="G1809" s="294"/>
      <c r="H1809" s="294"/>
      <c r="I1809" s="294"/>
      <c r="J1809" s="294"/>
    </row>
    <row r="1810" ht="15.75" customHeight="1">
      <c r="A1810" s="294"/>
      <c r="B1810" s="294"/>
      <c r="C1810" s="294"/>
      <c r="D1810" s="294"/>
      <c r="E1810" s="294"/>
      <c r="F1810" s="294"/>
      <c r="G1810" s="294"/>
      <c r="H1810" s="294"/>
      <c r="I1810" s="294"/>
      <c r="J1810" s="294"/>
    </row>
    <row r="1811" ht="15.75" customHeight="1">
      <c r="A1811" s="294"/>
      <c r="B1811" s="294"/>
      <c r="C1811" s="294"/>
      <c r="D1811" s="294"/>
      <c r="E1811" s="294"/>
      <c r="F1811" s="294"/>
      <c r="G1811" s="294"/>
      <c r="H1811" s="294"/>
      <c r="I1811" s="294"/>
      <c r="J1811" s="294"/>
    </row>
    <row r="1812" ht="15.75" customHeight="1">
      <c r="A1812" s="294"/>
      <c r="B1812" s="294"/>
      <c r="C1812" s="294"/>
      <c r="D1812" s="294"/>
      <c r="E1812" s="294"/>
      <c r="F1812" s="294"/>
      <c r="G1812" s="294"/>
      <c r="H1812" s="294"/>
      <c r="I1812" s="294"/>
      <c r="J1812" s="294"/>
    </row>
    <row r="1813" ht="15.75" customHeight="1">
      <c r="A1813" s="294"/>
      <c r="B1813" s="294"/>
      <c r="C1813" s="294"/>
      <c r="D1813" s="294"/>
      <c r="E1813" s="294"/>
      <c r="F1813" s="294"/>
      <c r="G1813" s="294"/>
      <c r="H1813" s="294"/>
      <c r="I1813" s="294"/>
      <c r="J1813" s="294"/>
    </row>
    <row r="1814" ht="15.75" customHeight="1">
      <c r="A1814" s="294"/>
      <c r="B1814" s="294"/>
      <c r="C1814" s="294"/>
      <c r="D1814" s="294"/>
      <c r="E1814" s="294"/>
      <c r="F1814" s="294"/>
      <c r="G1814" s="294"/>
      <c r="H1814" s="294"/>
      <c r="I1814" s="294"/>
      <c r="J1814" s="294"/>
    </row>
    <row r="1815" ht="15.75" customHeight="1">
      <c r="A1815" s="294"/>
      <c r="B1815" s="294"/>
      <c r="C1815" s="294"/>
      <c r="D1815" s="294"/>
      <c r="E1815" s="294"/>
      <c r="F1815" s="294"/>
      <c r="G1815" s="294"/>
      <c r="H1815" s="294"/>
      <c r="I1815" s="294"/>
      <c r="J1815" s="294"/>
    </row>
    <row r="1816" ht="15.75" customHeight="1">
      <c r="A1816" s="294"/>
      <c r="B1816" s="294"/>
      <c r="C1816" s="294"/>
      <c r="D1816" s="294"/>
      <c r="E1816" s="294"/>
      <c r="F1816" s="294"/>
      <c r="G1816" s="294"/>
      <c r="H1816" s="294"/>
      <c r="I1816" s="294"/>
      <c r="J1816" s="294"/>
    </row>
    <row r="1817" ht="15.75" customHeight="1">
      <c r="A1817" s="294"/>
      <c r="B1817" s="294"/>
      <c r="C1817" s="294"/>
      <c r="D1817" s="294"/>
      <c r="E1817" s="294"/>
      <c r="F1817" s="294"/>
      <c r="G1817" s="294"/>
      <c r="H1817" s="294"/>
      <c r="I1817" s="294"/>
      <c r="J1817" s="294"/>
    </row>
    <row r="1818" ht="15.75" customHeight="1">
      <c r="A1818" s="294"/>
      <c r="B1818" s="294"/>
      <c r="C1818" s="294"/>
      <c r="D1818" s="294"/>
      <c r="E1818" s="294"/>
      <c r="F1818" s="294"/>
      <c r="G1818" s="294"/>
      <c r="H1818" s="294"/>
      <c r="I1818" s="294"/>
      <c r="J1818" s="294"/>
    </row>
    <row r="1819" ht="15.75" customHeight="1">
      <c r="A1819" s="294"/>
      <c r="B1819" s="294"/>
      <c r="C1819" s="294"/>
      <c r="D1819" s="294"/>
      <c r="E1819" s="294"/>
      <c r="F1819" s="294"/>
      <c r="G1819" s="294"/>
      <c r="H1819" s="294"/>
      <c r="I1819" s="294"/>
      <c r="J1819" s="294"/>
    </row>
    <row r="1820" ht="15.75" customHeight="1">
      <c r="A1820" s="294"/>
      <c r="B1820" s="294"/>
      <c r="C1820" s="294"/>
      <c r="D1820" s="294"/>
      <c r="E1820" s="294"/>
      <c r="F1820" s="294"/>
      <c r="G1820" s="294"/>
      <c r="H1820" s="294"/>
      <c r="I1820" s="294"/>
      <c r="J1820" s="294"/>
    </row>
    <row r="1821" ht="15.75" customHeight="1">
      <c r="A1821" s="294"/>
      <c r="B1821" s="294"/>
      <c r="C1821" s="294"/>
      <c r="D1821" s="294"/>
      <c r="E1821" s="294"/>
      <c r="F1821" s="294"/>
      <c r="G1821" s="294"/>
      <c r="H1821" s="294"/>
      <c r="I1821" s="294"/>
      <c r="J1821" s="294"/>
    </row>
    <row r="1822" ht="15.75" customHeight="1">
      <c r="A1822" s="294"/>
      <c r="B1822" s="294"/>
      <c r="C1822" s="294"/>
      <c r="D1822" s="294"/>
      <c r="E1822" s="294"/>
      <c r="F1822" s="294"/>
      <c r="G1822" s="294"/>
      <c r="H1822" s="294"/>
      <c r="I1822" s="294"/>
      <c r="J1822" s="294"/>
    </row>
    <row r="1823" ht="15.75" customHeight="1">
      <c r="A1823" s="294"/>
      <c r="B1823" s="294"/>
      <c r="C1823" s="294"/>
      <c r="D1823" s="294"/>
      <c r="E1823" s="294"/>
      <c r="F1823" s="294"/>
      <c r="G1823" s="294"/>
      <c r="H1823" s="294"/>
      <c r="I1823" s="294"/>
      <c r="J1823" s="294"/>
    </row>
    <row r="1824" ht="15.75" customHeight="1">
      <c r="A1824" s="294"/>
      <c r="B1824" s="294"/>
      <c r="C1824" s="294"/>
      <c r="D1824" s="294"/>
      <c r="E1824" s="294"/>
      <c r="F1824" s="294"/>
      <c r="G1824" s="294"/>
      <c r="H1824" s="294"/>
      <c r="I1824" s="294"/>
      <c r="J1824" s="294"/>
    </row>
    <row r="1825" ht="15.75" customHeight="1">
      <c r="A1825" s="294"/>
      <c r="B1825" s="294"/>
      <c r="C1825" s="294"/>
      <c r="D1825" s="294"/>
      <c r="E1825" s="294"/>
      <c r="F1825" s="294"/>
      <c r="G1825" s="294"/>
      <c r="H1825" s="294"/>
      <c r="I1825" s="294"/>
      <c r="J1825" s="294"/>
    </row>
    <row r="1826" ht="15.75" customHeight="1">
      <c r="A1826" s="294"/>
      <c r="B1826" s="294"/>
      <c r="C1826" s="294"/>
      <c r="D1826" s="294"/>
      <c r="E1826" s="294"/>
      <c r="F1826" s="294"/>
      <c r="G1826" s="294"/>
      <c r="H1826" s="294"/>
      <c r="I1826" s="294"/>
      <c r="J1826" s="294"/>
    </row>
    <row r="1827" ht="15.75" customHeight="1">
      <c r="A1827" s="294"/>
      <c r="B1827" s="294"/>
      <c r="C1827" s="294"/>
      <c r="D1827" s="294"/>
      <c r="E1827" s="294"/>
      <c r="F1827" s="294"/>
      <c r="G1827" s="294"/>
      <c r="H1827" s="294"/>
      <c r="I1827" s="294"/>
      <c r="J1827" s="294"/>
    </row>
    <row r="1828" ht="15.75" customHeight="1">
      <c r="A1828" s="294"/>
      <c r="B1828" s="294"/>
      <c r="C1828" s="294"/>
      <c r="D1828" s="294"/>
      <c r="E1828" s="294"/>
      <c r="F1828" s="294"/>
      <c r="G1828" s="294"/>
      <c r="H1828" s="294"/>
      <c r="I1828" s="294"/>
      <c r="J1828" s="294"/>
    </row>
    <row r="1829" ht="15.75" customHeight="1">
      <c r="A1829" s="294"/>
      <c r="B1829" s="294"/>
      <c r="C1829" s="294"/>
      <c r="D1829" s="294"/>
      <c r="E1829" s="294"/>
      <c r="F1829" s="294"/>
      <c r="G1829" s="294"/>
      <c r="H1829" s="294"/>
      <c r="I1829" s="294"/>
      <c r="J1829" s="294"/>
    </row>
    <row r="1830" ht="15.75" customHeight="1">
      <c r="A1830" s="294"/>
      <c r="B1830" s="294"/>
      <c r="C1830" s="294"/>
      <c r="D1830" s="294"/>
      <c r="E1830" s="294"/>
      <c r="F1830" s="294"/>
      <c r="G1830" s="294"/>
      <c r="H1830" s="294"/>
      <c r="I1830" s="294"/>
      <c r="J1830" s="294"/>
    </row>
    <row r="1831" ht="15.75" customHeight="1">
      <c r="A1831" s="294"/>
      <c r="B1831" s="294"/>
      <c r="C1831" s="294"/>
      <c r="D1831" s="294"/>
      <c r="E1831" s="294"/>
      <c r="F1831" s="294"/>
      <c r="G1831" s="294"/>
      <c r="H1831" s="294"/>
      <c r="I1831" s="294"/>
      <c r="J1831" s="294"/>
    </row>
    <row r="1832" ht="15.75" customHeight="1">
      <c r="A1832" s="294"/>
      <c r="B1832" s="294"/>
      <c r="C1832" s="294"/>
      <c r="D1832" s="294"/>
      <c r="E1832" s="294"/>
      <c r="F1832" s="294"/>
      <c r="G1832" s="294"/>
      <c r="H1832" s="294"/>
      <c r="I1832" s="294"/>
      <c r="J1832" s="294"/>
    </row>
    <row r="1833" ht="15.75" customHeight="1">
      <c r="A1833" s="294"/>
      <c r="B1833" s="294"/>
      <c r="C1833" s="294"/>
      <c r="D1833" s="294"/>
      <c r="E1833" s="294"/>
      <c r="F1833" s="294"/>
      <c r="G1833" s="294"/>
      <c r="H1833" s="294"/>
      <c r="I1833" s="294"/>
      <c r="J1833" s="294"/>
    </row>
    <row r="1834" ht="15.75" customHeight="1">
      <c r="A1834" s="294"/>
      <c r="B1834" s="294"/>
      <c r="C1834" s="294"/>
      <c r="D1834" s="294"/>
      <c r="E1834" s="294"/>
      <c r="F1834" s="294"/>
      <c r="G1834" s="294"/>
      <c r="H1834" s="294"/>
      <c r="I1834" s="294"/>
      <c r="J1834" s="294"/>
    </row>
    <row r="1835" ht="15.75" customHeight="1">
      <c r="A1835" s="294"/>
      <c r="B1835" s="294"/>
      <c r="C1835" s="294"/>
      <c r="D1835" s="294"/>
      <c r="E1835" s="294"/>
      <c r="F1835" s="294"/>
      <c r="G1835" s="294"/>
      <c r="H1835" s="294"/>
      <c r="I1835" s="294"/>
      <c r="J1835" s="294"/>
    </row>
    <row r="1836" ht="15.75" customHeight="1">
      <c r="A1836" s="294"/>
      <c r="B1836" s="294"/>
      <c r="C1836" s="294"/>
      <c r="D1836" s="294"/>
      <c r="E1836" s="294"/>
      <c r="F1836" s="294"/>
      <c r="G1836" s="294"/>
      <c r="H1836" s="294"/>
      <c r="I1836" s="294"/>
      <c r="J1836" s="294"/>
    </row>
    <row r="1837" ht="15.75" customHeight="1">
      <c r="A1837" s="294"/>
      <c r="B1837" s="294"/>
      <c r="C1837" s="294"/>
      <c r="D1837" s="294"/>
      <c r="E1837" s="294"/>
      <c r="F1837" s="294"/>
      <c r="G1837" s="294"/>
      <c r="H1837" s="294"/>
      <c r="I1837" s="294"/>
      <c r="J1837" s="294"/>
    </row>
    <row r="1838" ht="15.75" customHeight="1">
      <c r="A1838" s="294"/>
      <c r="B1838" s="294"/>
      <c r="C1838" s="294"/>
      <c r="D1838" s="294"/>
      <c r="E1838" s="294"/>
      <c r="F1838" s="294"/>
      <c r="G1838" s="294"/>
      <c r="H1838" s="294"/>
      <c r="I1838" s="294"/>
      <c r="J1838" s="294"/>
    </row>
    <row r="1839" ht="15.75" customHeight="1">
      <c r="A1839" s="294"/>
      <c r="B1839" s="294"/>
      <c r="C1839" s="294"/>
      <c r="D1839" s="294"/>
      <c r="E1839" s="294"/>
      <c r="F1839" s="294"/>
      <c r="G1839" s="294"/>
      <c r="H1839" s="294"/>
      <c r="I1839" s="294"/>
      <c r="J1839" s="294"/>
    </row>
    <row r="1840" ht="15.75" customHeight="1">
      <c r="A1840" s="294"/>
      <c r="B1840" s="294"/>
      <c r="C1840" s="294"/>
      <c r="D1840" s="294"/>
      <c r="E1840" s="294"/>
      <c r="F1840" s="294"/>
      <c r="G1840" s="294"/>
      <c r="H1840" s="294"/>
      <c r="I1840" s="294"/>
      <c r="J1840" s="294"/>
    </row>
    <row r="1841" ht="15.75" customHeight="1">
      <c r="A1841" s="294"/>
      <c r="B1841" s="294"/>
      <c r="C1841" s="294"/>
      <c r="D1841" s="294"/>
      <c r="E1841" s="294"/>
      <c r="F1841" s="294"/>
      <c r="G1841" s="294"/>
      <c r="H1841" s="294"/>
      <c r="I1841" s="294"/>
      <c r="J1841" s="294"/>
    </row>
    <row r="1842" ht="15.75" customHeight="1">
      <c r="A1842" s="294"/>
      <c r="B1842" s="294"/>
      <c r="C1842" s="294"/>
      <c r="D1842" s="294"/>
      <c r="E1842" s="294"/>
      <c r="F1842" s="294"/>
      <c r="G1842" s="294"/>
      <c r="H1842" s="294"/>
      <c r="I1842" s="294"/>
      <c r="J1842" s="294"/>
    </row>
    <row r="1843" ht="15.75" customHeight="1">
      <c r="A1843" s="294"/>
      <c r="B1843" s="294"/>
      <c r="C1843" s="294"/>
      <c r="D1843" s="294"/>
      <c r="E1843" s="294"/>
      <c r="F1843" s="294"/>
      <c r="G1843" s="294"/>
      <c r="H1843" s="294"/>
      <c r="I1843" s="294"/>
      <c r="J1843" s="294"/>
    </row>
    <row r="1844" ht="15.75" customHeight="1">
      <c r="A1844" s="294"/>
      <c r="B1844" s="294"/>
      <c r="C1844" s="294"/>
      <c r="D1844" s="294"/>
      <c r="E1844" s="294"/>
      <c r="F1844" s="294"/>
      <c r="G1844" s="294"/>
      <c r="H1844" s="294"/>
      <c r="I1844" s="294"/>
      <c r="J1844" s="294"/>
    </row>
    <row r="1845" ht="15.75" customHeight="1">
      <c r="A1845" s="294"/>
      <c r="B1845" s="294"/>
      <c r="C1845" s="294"/>
      <c r="D1845" s="294"/>
      <c r="E1845" s="294"/>
      <c r="F1845" s="294"/>
      <c r="G1845" s="294"/>
      <c r="H1845" s="294"/>
      <c r="I1845" s="294"/>
      <c r="J1845" s="294"/>
    </row>
    <row r="1846" ht="15.75" customHeight="1">
      <c r="A1846" s="294"/>
      <c r="B1846" s="294"/>
      <c r="C1846" s="294"/>
      <c r="D1846" s="294"/>
      <c r="E1846" s="294"/>
      <c r="F1846" s="294"/>
      <c r="G1846" s="294"/>
      <c r="H1846" s="294"/>
      <c r="I1846" s="294"/>
      <c r="J1846" s="294"/>
    </row>
    <row r="1847" ht="15.75" customHeight="1">
      <c r="A1847" s="294"/>
      <c r="B1847" s="294"/>
      <c r="C1847" s="294"/>
      <c r="D1847" s="294"/>
      <c r="E1847" s="294"/>
      <c r="F1847" s="294"/>
      <c r="G1847" s="294"/>
      <c r="H1847" s="294"/>
      <c r="I1847" s="294"/>
      <c r="J1847" s="294"/>
    </row>
    <row r="1848" ht="15.75" customHeight="1">
      <c r="A1848" s="294"/>
      <c r="B1848" s="294"/>
      <c r="C1848" s="294"/>
      <c r="D1848" s="294"/>
      <c r="E1848" s="294"/>
      <c r="F1848" s="294"/>
      <c r="G1848" s="294"/>
      <c r="H1848" s="294"/>
      <c r="I1848" s="294"/>
      <c r="J1848" s="294"/>
    </row>
    <row r="1849" ht="15.75" customHeight="1">
      <c r="A1849" s="294"/>
      <c r="B1849" s="294"/>
      <c r="C1849" s="294"/>
      <c r="D1849" s="294"/>
      <c r="E1849" s="294"/>
      <c r="F1849" s="294"/>
      <c r="G1849" s="294"/>
      <c r="H1849" s="294"/>
      <c r="I1849" s="294"/>
      <c r="J1849" s="294"/>
    </row>
    <row r="1850" ht="15.75" customHeight="1">
      <c r="A1850" s="294"/>
      <c r="B1850" s="294"/>
      <c r="C1850" s="294"/>
      <c r="D1850" s="294"/>
      <c r="E1850" s="294"/>
      <c r="F1850" s="294"/>
      <c r="G1850" s="294"/>
      <c r="H1850" s="294"/>
      <c r="I1850" s="294"/>
      <c r="J1850" s="294"/>
    </row>
    <row r="1851" ht="15.75" customHeight="1">
      <c r="A1851" s="294"/>
      <c r="B1851" s="294"/>
      <c r="C1851" s="294"/>
      <c r="D1851" s="294"/>
      <c r="E1851" s="294"/>
      <c r="F1851" s="294"/>
      <c r="G1851" s="294"/>
      <c r="H1851" s="294"/>
      <c r="I1851" s="294"/>
      <c r="J1851" s="294"/>
    </row>
  </sheetData>
  <autoFilter ref="$A$29:$F$29"/>
  <mergeCells count="25">
    <mergeCell ref="A1:J1"/>
    <mergeCell ref="A3:J3"/>
    <mergeCell ref="A30:F30"/>
    <mergeCell ref="A132:F132"/>
    <mergeCell ref="A285:F285"/>
    <mergeCell ref="A394:F394"/>
    <mergeCell ref="A545:F545"/>
    <mergeCell ref="A683:F683"/>
    <mergeCell ref="A823:F823"/>
    <mergeCell ref="A974:F974"/>
    <mergeCell ref="A1122:F1122"/>
    <mergeCell ref="A1228:F1228"/>
    <mergeCell ref="A1267:F1267"/>
    <mergeCell ref="A1299:F1299"/>
    <mergeCell ref="A1555:F1555"/>
    <mergeCell ref="A1587:F1587"/>
    <mergeCell ref="A1619:F1619"/>
    <mergeCell ref="A1651:G1651"/>
    <mergeCell ref="A1331:F1331"/>
    <mergeCell ref="A1363:F1363"/>
    <mergeCell ref="A1395:F1395"/>
    <mergeCell ref="A1427:F1427"/>
    <mergeCell ref="A1459:F1459"/>
    <mergeCell ref="A1491:F1491"/>
    <mergeCell ref="A1523:F152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A1" s="294" t="s">
        <v>536</v>
      </c>
      <c r="B1" s="53"/>
      <c r="C1" s="53"/>
      <c r="D1" s="53"/>
      <c r="E1" s="53"/>
      <c r="F1" s="53"/>
    </row>
    <row r="2" ht="12.75" customHeight="1">
      <c r="A2" s="294" t="s">
        <v>537</v>
      </c>
      <c r="B2" s="53"/>
      <c r="C2" s="53"/>
      <c r="D2" s="53"/>
      <c r="E2" s="53"/>
      <c r="F2" s="53"/>
    </row>
    <row r="3" ht="12.75" customHeight="1">
      <c r="A3" s="294" t="s">
        <v>538</v>
      </c>
      <c r="B3" s="53"/>
      <c r="C3" s="53"/>
      <c r="D3" s="53"/>
      <c r="E3" s="53"/>
      <c r="F3" s="53"/>
    </row>
    <row r="4" ht="12.75" customHeight="1">
      <c r="A4" s="294" t="s">
        <v>539</v>
      </c>
      <c r="B4" s="53"/>
      <c r="C4" s="53"/>
      <c r="D4" s="53"/>
      <c r="E4" s="53"/>
      <c r="F4" s="53"/>
    </row>
    <row r="5" ht="12.75" customHeight="1">
      <c r="A5" s="294" t="s">
        <v>540</v>
      </c>
      <c r="B5" s="53"/>
      <c r="C5" s="53"/>
      <c r="D5" s="53"/>
      <c r="E5" s="53"/>
      <c r="F5" s="53"/>
    </row>
    <row r="6" ht="12.75" customHeight="1">
      <c r="A6" s="294" t="s">
        <v>541</v>
      </c>
      <c r="B6" s="53"/>
      <c r="C6" s="53"/>
      <c r="D6" s="53"/>
      <c r="E6" s="53"/>
      <c r="F6" s="53"/>
    </row>
    <row r="7" ht="12.75" customHeight="1">
      <c r="A7" s="294" t="s">
        <v>542</v>
      </c>
      <c r="B7" s="53"/>
      <c r="C7" s="53"/>
      <c r="D7" s="53"/>
      <c r="E7" s="53"/>
      <c r="F7" s="53"/>
    </row>
    <row r="8" ht="12.75" customHeight="1">
      <c r="A8" s="294" t="s">
        <v>543</v>
      </c>
      <c r="B8" s="53"/>
      <c r="C8" s="53"/>
      <c r="D8" s="53"/>
      <c r="E8" s="53"/>
      <c r="F8" s="53"/>
    </row>
    <row r="9" ht="12.75" customHeight="1">
      <c r="A9" s="294" t="s">
        <v>544</v>
      </c>
      <c r="B9" s="53"/>
      <c r="C9" s="53"/>
      <c r="D9" s="53"/>
      <c r="E9" s="53"/>
      <c r="F9" s="53"/>
    </row>
    <row r="10" ht="12.75" customHeight="1">
      <c r="A10" s="294" t="s">
        <v>545</v>
      </c>
      <c r="B10" s="53"/>
      <c r="C10" s="53"/>
      <c r="D10" s="53"/>
      <c r="E10" s="53"/>
      <c r="F10" s="53"/>
    </row>
    <row r="11" ht="12.75" customHeight="1">
      <c r="A11" s="294" t="s">
        <v>546</v>
      </c>
      <c r="B11" s="53"/>
      <c r="C11" s="53"/>
      <c r="D11" s="53"/>
      <c r="E11" s="53"/>
      <c r="F11" s="53"/>
    </row>
    <row r="12" ht="12.75" customHeight="1">
      <c r="A12" s="294" t="s">
        <v>547</v>
      </c>
      <c r="B12" s="53"/>
      <c r="C12" s="53"/>
      <c r="D12" s="53"/>
      <c r="E12" s="53"/>
      <c r="F12" s="53"/>
    </row>
    <row r="13" ht="12.75" customHeight="1">
      <c r="A13" s="294" t="s">
        <v>548</v>
      </c>
      <c r="B13" s="53"/>
      <c r="C13" s="53"/>
      <c r="D13" s="53"/>
      <c r="E13" s="53"/>
      <c r="F13" s="53"/>
    </row>
    <row r="14" ht="12.75" customHeight="1">
      <c r="A14" s="294" t="s">
        <v>549</v>
      </c>
      <c r="B14" s="53"/>
      <c r="C14" s="53"/>
      <c r="D14" s="53"/>
      <c r="E14" s="53"/>
      <c r="F14" s="53"/>
    </row>
    <row r="15" ht="12.75" customHeight="1">
      <c r="A15" s="294" t="s">
        <v>550</v>
      </c>
      <c r="B15" s="53"/>
      <c r="C15" s="53"/>
      <c r="D15" s="53"/>
      <c r="E15" s="53"/>
      <c r="F15" s="53"/>
    </row>
    <row r="16" ht="12.75" customHeight="1">
      <c r="A16" s="294" t="s">
        <v>551</v>
      </c>
      <c r="B16" s="53"/>
      <c r="C16" s="53"/>
      <c r="D16" s="53"/>
      <c r="E16" s="53"/>
      <c r="F16" s="53"/>
    </row>
    <row r="17" ht="12.75" customHeight="1">
      <c r="A17" s="294" t="s">
        <v>552</v>
      </c>
      <c r="B17" s="53"/>
      <c r="C17" s="53"/>
      <c r="D17" s="53"/>
      <c r="E17" s="53"/>
      <c r="F17" s="53"/>
    </row>
    <row r="18" ht="12.75" customHeight="1">
      <c r="A18" s="294" t="s">
        <v>553</v>
      </c>
      <c r="B18" s="53"/>
      <c r="C18" s="53"/>
      <c r="D18" s="53"/>
      <c r="E18" s="53"/>
      <c r="F18" s="53"/>
    </row>
    <row r="19" ht="12.75" customHeight="1">
      <c r="A19" s="294" t="s">
        <v>554</v>
      </c>
      <c r="B19" s="53"/>
      <c r="C19" s="53"/>
      <c r="D19" s="53"/>
      <c r="E19" s="53"/>
      <c r="F19" s="53"/>
    </row>
    <row r="20" ht="12.75" customHeight="1">
      <c r="A20" s="294" t="s">
        <v>555</v>
      </c>
      <c r="B20" s="53"/>
      <c r="C20" s="53"/>
      <c r="D20" s="53"/>
      <c r="E20" s="53"/>
      <c r="F20" s="53"/>
    </row>
    <row r="21" ht="15.75" customHeight="1">
      <c r="A21" s="294" t="s">
        <v>556</v>
      </c>
      <c r="B21" s="53"/>
      <c r="C21" s="53"/>
      <c r="D21" s="53"/>
      <c r="E21" s="53"/>
      <c r="F21" s="53"/>
    </row>
    <row r="22" ht="15.75" customHeight="1">
      <c r="A22" s="294" t="s">
        <v>557</v>
      </c>
      <c r="B22" s="53"/>
      <c r="C22" s="53"/>
      <c r="D22" s="53"/>
      <c r="E22" s="53"/>
      <c r="F22" s="53"/>
    </row>
    <row r="23" ht="15.75" customHeight="1">
      <c r="A23" s="53"/>
      <c r="B23" s="53"/>
      <c r="C23" s="53"/>
      <c r="D23" s="53"/>
      <c r="E23" s="53"/>
      <c r="F23" s="53"/>
    </row>
    <row r="24" ht="15.75" customHeight="1">
      <c r="A24" s="53"/>
      <c r="B24" s="53"/>
      <c r="C24" s="53"/>
      <c r="D24" s="53"/>
      <c r="E24" s="53"/>
      <c r="F24" s="53"/>
    </row>
    <row r="25" ht="15.75" customHeight="1">
      <c r="A25" s="53"/>
      <c r="B25" s="53"/>
      <c r="C25" s="53"/>
      <c r="D25" s="53"/>
      <c r="E25" s="53"/>
      <c r="F25" s="53"/>
    </row>
    <row r="26" ht="15.75" customHeight="1">
      <c r="A26" s="53"/>
      <c r="B26" s="53"/>
      <c r="C26" s="53"/>
      <c r="D26" s="53"/>
      <c r="E26" s="53"/>
      <c r="F26" s="53"/>
    </row>
    <row r="27" ht="15.75" customHeight="1">
      <c r="A27" s="53"/>
      <c r="B27" s="53"/>
      <c r="C27" s="53"/>
      <c r="D27" s="53"/>
      <c r="E27" s="53"/>
      <c r="F27" s="53"/>
    </row>
    <row r="28" ht="15.75" customHeight="1">
      <c r="A28" s="53"/>
      <c r="B28" s="53"/>
      <c r="C28" s="53"/>
      <c r="D28" s="53"/>
      <c r="E28" s="53"/>
      <c r="F28" s="53"/>
    </row>
    <row r="29" ht="15.75" customHeight="1">
      <c r="A29" s="53"/>
      <c r="B29" s="53"/>
      <c r="C29" s="53"/>
      <c r="D29" s="53"/>
      <c r="E29" s="53"/>
      <c r="F29" s="53"/>
    </row>
    <row r="30" ht="15.75" customHeight="1">
      <c r="A30" s="53"/>
      <c r="B30" s="53"/>
      <c r="C30" s="53"/>
      <c r="D30" s="53"/>
      <c r="E30" s="53"/>
      <c r="F30" s="53"/>
    </row>
    <row r="31" ht="15.75" customHeight="1">
      <c r="A31" s="53"/>
      <c r="B31" s="53"/>
      <c r="C31" s="53"/>
      <c r="D31" s="53"/>
      <c r="E31" s="53"/>
      <c r="F31" s="53"/>
    </row>
    <row r="32" ht="15.75" customHeight="1">
      <c r="A32" s="53"/>
      <c r="B32" s="53"/>
      <c r="C32" s="53"/>
      <c r="D32" s="53"/>
      <c r="E32" s="53"/>
      <c r="F32" s="53"/>
    </row>
    <row r="33" ht="15.75" customHeight="1">
      <c r="A33" s="53"/>
      <c r="B33" s="53"/>
      <c r="C33" s="53"/>
      <c r="D33" s="53"/>
      <c r="E33" s="53"/>
      <c r="F33" s="53"/>
    </row>
    <row r="34" ht="15.75" customHeight="1">
      <c r="A34" s="53"/>
      <c r="B34" s="53"/>
      <c r="C34" s="53"/>
      <c r="D34" s="53"/>
      <c r="E34" s="53"/>
      <c r="F34" s="53"/>
    </row>
    <row r="35" ht="15.75" customHeight="1">
      <c r="A35" s="53"/>
      <c r="B35" s="53"/>
      <c r="C35" s="53"/>
      <c r="D35" s="53"/>
      <c r="E35" s="53"/>
      <c r="F35" s="53"/>
    </row>
    <row r="36" ht="15.75" customHeight="1">
      <c r="A36" s="53"/>
      <c r="B36" s="53"/>
      <c r="C36" s="53"/>
      <c r="D36" s="53"/>
      <c r="E36" s="53"/>
      <c r="F36" s="53"/>
    </row>
    <row r="37" ht="15.75" customHeight="1">
      <c r="A37" s="53"/>
      <c r="B37" s="53"/>
      <c r="C37" s="53"/>
      <c r="D37" s="53"/>
      <c r="E37" s="53"/>
      <c r="F37" s="53"/>
    </row>
    <row r="38" ht="15.75" customHeight="1">
      <c r="A38" s="53"/>
      <c r="B38" s="53"/>
      <c r="C38" s="53"/>
      <c r="D38" s="53"/>
      <c r="E38" s="53"/>
      <c r="F38" s="53"/>
    </row>
    <row r="39" ht="15.75" customHeight="1">
      <c r="A39" s="53"/>
      <c r="B39" s="53"/>
      <c r="C39" s="53"/>
      <c r="D39" s="53"/>
      <c r="E39" s="53"/>
      <c r="F39" s="53"/>
    </row>
    <row r="40" ht="15.75" customHeight="1">
      <c r="A40" s="53"/>
      <c r="B40" s="53"/>
      <c r="C40" s="53"/>
      <c r="D40" s="53"/>
      <c r="E40" s="53"/>
      <c r="F40" s="53"/>
    </row>
    <row r="41" ht="15.75" customHeight="1">
      <c r="A41" s="53"/>
      <c r="B41" s="53"/>
      <c r="C41" s="53"/>
      <c r="D41" s="53"/>
      <c r="E41" s="53"/>
      <c r="F41" s="53"/>
    </row>
    <row r="42" ht="15.75" customHeight="1">
      <c r="A42" s="53"/>
      <c r="B42" s="53"/>
      <c r="C42" s="53"/>
      <c r="D42" s="53"/>
      <c r="E42" s="53"/>
      <c r="F42" s="53"/>
    </row>
    <row r="43" ht="15.75" customHeight="1">
      <c r="A43" s="53"/>
      <c r="B43" s="53"/>
      <c r="C43" s="53"/>
      <c r="D43" s="53"/>
      <c r="E43" s="53"/>
      <c r="F43" s="53"/>
    </row>
    <row r="44" ht="15.75" customHeight="1">
      <c r="A44" s="53"/>
      <c r="B44" s="53"/>
      <c r="C44" s="53"/>
      <c r="D44" s="53"/>
      <c r="E44" s="53"/>
      <c r="F44" s="53"/>
    </row>
    <row r="45" ht="15.75" customHeight="1">
      <c r="A45" s="53"/>
      <c r="B45" s="53"/>
      <c r="C45" s="53"/>
      <c r="D45" s="53"/>
      <c r="E45" s="53"/>
      <c r="F45" s="53"/>
    </row>
    <row r="46" ht="15.75" customHeight="1">
      <c r="A46" s="53"/>
      <c r="B46" s="53"/>
      <c r="C46" s="53"/>
      <c r="D46" s="53"/>
      <c r="E46" s="53"/>
      <c r="F46" s="53"/>
    </row>
    <row r="47" ht="15.75" customHeight="1">
      <c r="A47" s="53"/>
      <c r="B47" s="53"/>
      <c r="C47" s="53"/>
      <c r="D47" s="53"/>
      <c r="E47" s="53"/>
      <c r="F47" s="53"/>
    </row>
    <row r="48" ht="15.75" customHeight="1">
      <c r="A48" s="53"/>
      <c r="B48" s="53"/>
      <c r="C48" s="53"/>
      <c r="D48" s="53"/>
      <c r="E48" s="53"/>
      <c r="F48" s="53"/>
    </row>
    <row r="49" ht="15.75" customHeight="1">
      <c r="A49" s="53"/>
      <c r="B49" s="53"/>
      <c r="C49" s="53"/>
      <c r="D49" s="53"/>
      <c r="E49" s="53"/>
      <c r="F49" s="53"/>
    </row>
    <row r="50" ht="15.75" customHeight="1">
      <c r="A50" s="53"/>
      <c r="B50" s="53"/>
      <c r="C50" s="53"/>
      <c r="D50" s="53"/>
      <c r="E50" s="53"/>
      <c r="F50" s="53"/>
    </row>
    <row r="51" ht="15.75" customHeight="1">
      <c r="A51" s="53"/>
      <c r="B51" s="53"/>
      <c r="C51" s="53"/>
      <c r="D51" s="53"/>
      <c r="E51" s="53"/>
      <c r="F51" s="53"/>
    </row>
    <row r="52" ht="15.75" customHeight="1">
      <c r="A52" s="53"/>
      <c r="B52" s="53"/>
      <c r="C52" s="53"/>
      <c r="D52" s="53"/>
      <c r="E52" s="53"/>
      <c r="F52" s="53"/>
    </row>
    <row r="53" ht="15.75" customHeight="1">
      <c r="A53" s="53"/>
      <c r="B53" s="53"/>
      <c r="C53" s="53"/>
      <c r="D53" s="53"/>
      <c r="E53" s="53"/>
      <c r="F53" s="53"/>
    </row>
    <row r="54" ht="15.75" customHeight="1">
      <c r="A54" s="53"/>
      <c r="B54" s="53"/>
      <c r="C54" s="53"/>
      <c r="D54" s="53"/>
      <c r="E54" s="53"/>
      <c r="F54" s="53"/>
    </row>
    <row r="55" ht="15.75" customHeight="1">
      <c r="A55" s="53"/>
      <c r="B55" s="53"/>
      <c r="C55" s="53"/>
      <c r="D55" s="53"/>
      <c r="E55" s="53"/>
      <c r="F55" s="53"/>
    </row>
    <row r="56" ht="15.75" customHeight="1">
      <c r="A56" s="53"/>
      <c r="B56" s="53"/>
      <c r="C56" s="53"/>
      <c r="D56" s="53"/>
      <c r="E56" s="53"/>
      <c r="F56" s="53"/>
    </row>
    <row r="57" ht="15.75" customHeight="1">
      <c r="A57" s="53"/>
      <c r="B57" s="53"/>
      <c r="C57" s="53"/>
      <c r="D57" s="53"/>
      <c r="E57" s="53"/>
      <c r="F57" s="53"/>
    </row>
    <row r="58" ht="15.75" customHeight="1">
      <c r="A58" s="53"/>
      <c r="B58" s="53"/>
      <c r="C58" s="53"/>
      <c r="D58" s="53"/>
      <c r="E58" s="53"/>
      <c r="F58" s="53"/>
    </row>
    <row r="59" ht="15.75" customHeight="1">
      <c r="A59" s="53"/>
      <c r="B59" s="53"/>
      <c r="C59" s="53"/>
      <c r="D59" s="53"/>
      <c r="E59" s="53"/>
      <c r="F59" s="53"/>
    </row>
    <row r="60" ht="15.75" customHeight="1">
      <c r="A60" s="53"/>
      <c r="B60" s="53"/>
      <c r="C60" s="53"/>
      <c r="D60" s="53"/>
      <c r="E60" s="53"/>
      <c r="F60" s="53"/>
    </row>
    <row r="61" ht="15.75" customHeight="1">
      <c r="A61" s="53"/>
      <c r="B61" s="53"/>
      <c r="C61" s="53"/>
      <c r="D61" s="53"/>
      <c r="E61" s="53"/>
      <c r="F61" s="53"/>
    </row>
    <row r="62" ht="15.75" customHeight="1">
      <c r="A62" s="53"/>
      <c r="B62" s="53"/>
      <c r="C62" s="53"/>
      <c r="D62" s="53"/>
      <c r="E62" s="53"/>
      <c r="F62" s="53"/>
    </row>
    <row r="63" ht="15.75" customHeight="1">
      <c r="A63" s="53"/>
      <c r="B63" s="53"/>
      <c r="C63" s="53"/>
      <c r="D63" s="53"/>
      <c r="E63" s="53"/>
      <c r="F63" s="53"/>
    </row>
    <row r="64" ht="15.75" customHeight="1">
      <c r="A64" s="53"/>
      <c r="B64" s="53"/>
      <c r="C64" s="53"/>
      <c r="D64" s="53"/>
      <c r="E64" s="53"/>
      <c r="F64" s="53"/>
    </row>
    <row r="65" ht="15.75" customHeight="1">
      <c r="A65" s="53"/>
      <c r="B65" s="53"/>
      <c r="C65" s="53"/>
      <c r="D65" s="53"/>
      <c r="E65" s="53"/>
      <c r="F65" s="53"/>
    </row>
    <row r="66" ht="15.75" customHeight="1">
      <c r="A66" s="53"/>
      <c r="B66" s="53"/>
      <c r="C66" s="53"/>
      <c r="D66" s="53"/>
      <c r="E66" s="53"/>
      <c r="F66" s="53"/>
    </row>
    <row r="67" ht="15.75" customHeight="1">
      <c r="A67" s="53"/>
      <c r="B67" s="53"/>
      <c r="C67" s="53"/>
      <c r="D67" s="53"/>
      <c r="E67" s="53"/>
      <c r="F67" s="53"/>
    </row>
    <row r="68" ht="15.75" customHeight="1">
      <c r="A68" s="53"/>
      <c r="B68" s="53"/>
      <c r="C68" s="53"/>
      <c r="D68" s="53"/>
      <c r="E68" s="53"/>
      <c r="F68" s="53"/>
    </row>
    <row r="69" ht="15.75" customHeight="1">
      <c r="A69" s="53"/>
      <c r="B69" s="53"/>
      <c r="C69" s="53"/>
      <c r="D69" s="53"/>
      <c r="E69" s="53"/>
      <c r="F69" s="53"/>
    </row>
    <row r="70" ht="15.75" customHeight="1">
      <c r="A70" s="53"/>
      <c r="B70" s="53"/>
      <c r="C70" s="53"/>
      <c r="D70" s="53"/>
      <c r="E70" s="53"/>
      <c r="F70" s="53"/>
    </row>
    <row r="71" ht="15.75" customHeight="1">
      <c r="A71" s="53"/>
      <c r="B71" s="53"/>
      <c r="C71" s="53"/>
      <c r="D71" s="53"/>
      <c r="E71" s="53"/>
      <c r="F71" s="53"/>
    </row>
    <row r="72" ht="15.75" customHeight="1">
      <c r="A72" s="53"/>
      <c r="B72" s="53"/>
      <c r="C72" s="53"/>
      <c r="D72" s="53"/>
      <c r="E72" s="53"/>
      <c r="F72" s="53"/>
    </row>
    <row r="73" ht="15.75" customHeight="1">
      <c r="A73" s="53"/>
      <c r="B73" s="53"/>
      <c r="C73" s="53"/>
      <c r="D73" s="53"/>
      <c r="E73" s="53"/>
      <c r="F73" s="53"/>
    </row>
    <row r="74" ht="15.75" customHeight="1">
      <c r="A74" s="53"/>
      <c r="B74" s="53"/>
      <c r="C74" s="53"/>
      <c r="D74" s="53"/>
      <c r="E74" s="53"/>
      <c r="F74" s="53"/>
    </row>
    <row r="75" ht="15.75" customHeight="1">
      <c r="A75" s="53"/>
      <c r="B75" s="53"/>
      <c r="C75" s="53"/>
      <c r="D75" s="53"/>
      <c r="E75" s="53"/>
      <c r="F75" s="53"/>
    </row>
    <row r="76" ht="15.75" customHeight="1">
      <c r="A76" s="53"/>
      <c r="B76" s="53"/>
      <c r="C76" s="53"/>
      <c r="D76" s="53"/>
      <c r="E76" s="53"/>
      <c r="F76" s="53"/>
    </row>
    <row r="77" ht="15.75" customHeight="1">
      <c r="A77" s="53"/>
      <c r="B77" s="53"/>
      <c r="C77" s="53"/>
      <c r="D77" s="53"/>
      <c r="E77" s="53"/>
      <c r="F77" s="53"/>
    </row>
    <row r="78" ht="15.75" customHeight="1">
      <c r="A78" s="53"/>
      <c r="B78" s="53"/>
      <c r="C78" s="53"/>
      <c r="D78" s="53"/>
      <c r="E78" s="53"/>
      <c r="F78" s="53"/>
    </row>
    <row r="79" ht="15.75" customHeight="1">
      <c r="A79" s="53"/>
      <c r="B79" s="53"/>
      <c r="C79" s="53"/>
      <c r="D79" s="53"/>
      <c r="E79" s="53"/>
      <c r="F79" s="53"/>
    </row>
    <row r="80" ht="15.75" customHeight="1">
      <c r="A80" s="53"/>
      <c r="B80" s="53"/>
      <c r="C80" s="53"/>
      <c r="D80" s="53"/>
      <c r="E80" s="53"/>
      <c r="F80" s="53"/>
    </row>
    <row r="81" ht="15.75" customHeight="1">
      <c r="A81" s="53"/>
      <c r="B81" s="53"/>
      <c r="C81" s="53"/>
      <c r="D81" s="53"/>
      <c r="E81" s="53"/>
      <c r="F81" s="53"/>
    </row>
    <row r="82" ht="15.75" customHeight="1">
      <c r="A82" s="53"/>
      <c r="B82" s="53"/>
      <c r="C82" s="53"/>
      <c r="D82" s="53"/>
      <c r="E82" s="53"/>
      <c r="F82" s="53"/>
    </row>
    <row r="83" ht="15.75" customHeight="1">
      <c r="A83" s="53"/>
      <c r="B83" s="53"/>
      <c r="C83" s="53"/>
      <c r="D83" s="53"/>
      <c r="E83" s="53"/>
      <c r="F83" s="53"/>
    </row>
    <row r="84" ht="15.75" customHeight="1">
      <c r="A84" s="53"/>
      <c r="B84" s="53"/>
      <c r="C84" s="53"/>
      <c r="D84" s="53"/>
      <c r="E84" s="53"/>
      <c r="F84" s="53"/>
    </row>
    <row r="85" ht="15.75" customHeight="1">
      <c r="A85" s="53"/>
      <c r="B85" s="53"/>
      <c r="C85" s="53"/>
      <c r="D85" s="53"/>
      <c r="E85" s="53"/>
      <c r="F85" s="53"/>
    </row>
    <row r="86" ht="15.75" customHeight="1">
      <c r="A86" s="53"/>
      <c r="B86" s="53"/>
      <c r="C86" s="53"/>
      <c r="D86" s="53"/>
      <c r="E86" s="53"/>
      <c r="F86" s="53"/>
    </row>
    <row r="87" ht="15.75" customHeight="1">
      <c r="A87" s="53"/>
      <c r="B87" s="53"/>
      <c r="C87" s="53"/>
      <c r="D87" s="53"/>
      <c r="E87" s="53"/>
      <c r="F87" s="53"/>
    </row>
    <row r="88" ht="15.75" customHeight="1">
      <c r="A88" s="53"/>
      <c r="B88" s="53"/>
      <c r="C88" s="53"/>
      <c r="D88" s="53"/>
      <c r="E88" s="53"/>
      <c r="F88" s="53"/>
    </row>
    <row r="89" ht="15.75" customHeight="1">
      <c r="A89" s="53"/>
      <c r="B89" s="53"/>
      <c r="C89" s="53"/>
      <c r="D89" s="53"/>
      <c r="E89" s="53"/>
      <c r="F89" s="53"/>
    </row>
    <row r="90" ht="15.75" customHeight="1">
      <c r="A90" s="53"/>
      <c r="B90" s="53"/>
      <c r="C90" s="53"/>
      <c r="D90" s="53"/>
      <c r="E90" s="53"/>
      <c r="F90" s="53"/>
    </row>
    <row r="91" ht="15.75" customHeight="1">
      <c r="A91" s="53"/>
      <c r="B91" s="53"/>
      <c r="C91" s="53"/>
      <c r="D91" s="53"/>
      <c r="E91" s="53"/>
      <c r="F91" s="53"/>
    </row>
    <row r="92" ht="15.75" customHeight="1">
      <c r="A92" s="53"/>
      <c r="B92" s="53"/>
      <c r="C92" s="53"/>
      <c r="D92" s="53"/>
      <c r="E92" s="53"/>
      <c r="F92" s="53"/>
    </row>
    <row r="93" ht="15.75" customHeight="1">
      <c r="A93" s="53"/>
      <c r="B93" s="53"/>
      <c r="C93" s="53"/>
      <c r="D93" s="53"/>
      <c r="E93" s="53"/>
      <c r="F93" s="53"/>
    </row>
    <row r="94" ht="15.75" customHeight="1">
      <c r="A94" s="53"/>
      <c r="B94" s="53"/>
      <c r="C94" s="53"/>
      <c r="D94" s="53"/>
      <c r="E94" s="53"/>
      <c r="F94" s="53"/>
    </row>
    <row r="95" ht="15.75" customHeight="1">
      <c r="A95" s="53"/>
      <c r="B95" s="53"/>
      <c r="C95" s="53"/>
      <c r="D95" s="53"/>
      <c r="E95" s="53"/>
      <c r="F95" s="53"/>
    </row>
    <row r="96" ht="15.75" customHeight="1">
      <c r="A96" s="53"/>
      <c r="B96" s="53"/>
      <c r="C96" s="53"/>
      <c r="D96" s="53"/>
      <c r="E96" s="53"/>
      <c r="F96" s="53"/>
    </row>
    <row r="97" ht="15.75" customHeight="1">
      <c r="A97" s="53"/>
      <c r="B97" s="53"/>
      <c r="C97" s="53"/>
      <c r="D97" s="53"/>
      <c r="E97" s="53"/>
      <c r="F97" s="53"/>
    </row>
    <row r="98" ht="15.75" customHeight="1">
      <c r="A98" s="53"/>
      <c r="B98" s="53"/>
      <c r="C98" s="53"/>
      <c r="D98" s="53"/>
      <c r="E98" s="53"/>
      <c r="F98" s="53"/>
    </row>
    <row r="99" ht="15.75" customHeight="1">
      <c r="A99" s="53"/>
      <c r="B99" s="53"/>
      <c r="C99" s="53"/>
      <c r="D99" s="53"/>
      <c r="E99" s="53"/>
      <c r="F99" s="53"/>
    </row>
    <row r="100" ht="15.75" customHeight="1">
      <c r="A100" s="53"/>
      <c r="B100" s="53"/>
      <c r="C100" s="53"/>
      <c r="D100" s="53"/>
      <c r="E100" s="53"/>
      <c r="F100" s="53"/>
    </row>
    <row r="101" ht="15.75" customHeight="1">
      <c r="A101" s="53"/>
      <c r="B101" s="53"/>
      <c r="C101" s="53"/>
      <c r="D101" s="53"/>
      <c r="E101" s="53"/>
      <c r="F101" s="53"/>
    </row>
    <row r="102" ht="15.75" customHeight="1">
      <c r="A102" s="53"/>
      <c r="B102" s="53"/>
      <c r="C102" s="53"/>
      <c r="D102" s="53"/>
      <c r="E102" s="53"/>
      <c r="F102" s="53"/>
    </row>
    <row r="103" ht="15.75" customHeight="1">
      <c r="A103" s="53"/>
      <c r="B103" s="53"/>
      <c r="C103" s="53"/>
      <c r="D103" s="53"/>
      <c r="E103" s="53"/>
      <c r="F103" s="53"/>
    </row>
    <row r="104" ht="15.75" customHeight="1">
      <c r="A104" s="53"/>
      <c r="B104" s="53"/>
      <c r="C104" s="53"/>
      <c r="D104" s="53"/>
      <c r="E104" s="53"/>
      <c r="F104" s="53"/>
    </row>
    <row r="105" ht="15.75" customHeight="1">
      <c r="A105" s="53"/>
      <c r="B105" s="53"/>
      <c r="C105" s="53"/>
      <c r="D105" s="53"/>
      <c r="E105" s="53"/>
      <c r="F105" s="53"/>
    </row>
    <row r="106" ht="15.75" customHeight="1">
      <c r="A106" s="53"/>
      <c r="B106" s="53"/>
      <c r="C106" s="53"/>
      <c r="D106" s="53"/>
      <c r="E106" s="53"/>
      <c r="F106" s="53"/>
    </row>
    <row r="107" ht="15.75" customHeight="1">
      <c r="A107" s="53"/>
      <c r="B107" s="53"/>
      <c r="C107" s="53"/>
      <c r="D107" s="53"/>
      <c r="E107" s="53"/>
      <c r="F107" s="53"/>
    </row>
    <row r="108" ht="15.75" customHeight="1">
      <c r="A108" s="53"/>
      <c r="B108" s="53"/>
      <c r="C108" s="53"/>
      <c r="D108" s="53"/>
      <c r="E108" s="53"/>
      <c r="F108" s="53"/>
    </row>
    <row r="109" ht="15.75" customHeight="1">
      <c r="A109" s="53"/>
      <c r="B109" s="53"/>
      <c r="C109" s="53"/>
      <c r="D109" s="53"/>
      <c r="E109" s="53"/>
      <c r="F109" s="53"/>
    </row>
    <row r="110" ht="15.75" customHeight="1">
      <c r="A110" s="53"/>
      <c r="B110" s="53"/>
      <c r="C110" s="53"/>
      <c r="D110" s="53"/>
      <c r="E110" s="53"/>
      <c r="F110" s="53"/>
    </row>
    <row r="111" ht="15.75" customHeight="1">
      <c r="A111" s="53"/>
      <c r="B111" s="53"/>
      <c r="C111" s="53"/>
      <c r="D111" s="53"/>
      <c r="E111" s="53"/>
      <c r="F111" s="53"/>
    </row>
    <row r="112" ht="15.75" customHeight="1">
      <c r="A112" s="53"/>
      <c r="B112" s="53"/>
      <c r="C112" s="53"/>
      <c r="D112" s="53"/>
      <c r="E112" s="53"/>
      <c r="F112" s="53"/>
    </row>
    <row r="113" ht="15.75" customHeight="1">
      <c r="A113" s="53"/>
      <c r="B113" s="53"/>
      <c r="C113" s="53"/>
      <c r="D113" s="53"/>
      <c r="E113" s="53"/>
      <c r="F113" s="53"/>
    </row>
    <row r="114" ht="15.75" customHeight="1">
      <c r="A114" s="53"/>
      <c r="B114" s="53"/>
      <c r="C114" s="53"/>
      <c r="D114" s="53"/>
      <c r="E114" s="53"/>
      <c r="F114" s="53"/>
    </row>
    <row r="115" ht="15.75" customHeight="1">
      <c r="A115" s="53"/>
      <c r="B115" s="53"/>
      <c r="C115" s="53"/>
      <c r="D115" s="53"/>
      <c r="E115" s="53"/>
      <c r="F115" s="53"/>
    </row>
    <row r="116" ht="15.75" customHeight="1">
      <c r="A116" s="53"/>
      <c r="B116" s="53"/>
      <c r="C116" s="53"/>
      <c r="D116" s="53"/>
      <c r="E116" s="53"/>
      <c r="F116" s="53"/>
    </row>
    <row r="117" ht="15.75" customHeight="1">
      <c r="A117" s="53"/>
      <c r="B117" s="53"/>
      <c r="C117" s="53"/>
      <c r="D117" s="53"/>
      <c r="E117" s="53"/>
      <c r="F117" s="53"/>
    </row>
    <row r="118" ht="15.75" customHeight="1">
      <c r="A118" s="53"/>
      <c r="B118" s="53"/>
      <c r="C118" s="53"/>
      <c r="D118" s="53"/>
      <c r="E118" s="53"/>
      <c r="F118" s="53"/>
    </row>
    <row r="119" ht="15.75" customHeight="1">
      <c r="A119" s="53"/>
      <c r="B119" s="53"/>
      <c r="C119" s="53"/>
      <c r="D119" s="53"/>
      <c r="E119" s="53"/>
      <c r="F119" s="53"/>
    </row>
    <row r="120" ht="15.75" customHeight="1">
      <c r="A120" s="53"/>
      <c r="B120" s="53"/>
      <c r="C120" s="53"/>
      <c r="D120" s="53"/>
      <c r="E120" s="53"/>
      <c r="F120" s="53"/>
    </row>
    <row r="121" ht="15.75" customHeight="1">
      <c r="A121" s="53"/>
      <c r="B121" s="53"/>
      <c r="C121" s="53"/>
      <c r="D121" s="53"/>
      <c r="E121" s="53"/>
      <c r="F121" s="53"/>
    </row>
    <row r="122" ht="15.75" customHeight="1">
      <c r="A122" s="53"/>
      <c r="B122" s="53"/>
      <c r="C122" s="53"/>
      <c r="D122" s="53"/>
      <c r="E122" s="53"/>
      <c r="F122" s="53"/>
    </row>
    <row r="123" ht="15.75" customHeight="1">
      <c r="A123" s="53"/>
      <c r="B123" s="53"/>
      <c r="C123" s="53"/>
      <c r="D123" s="53"/>
      <c r="E123" s="53"/>
      <c r="F123" s="53"/>
    </row>
    <row r="124" ht="15.75" customHeight="1">
      <c r="A124" s="53"/>
      <c r="B124" s="53"/>
      <c r="C124" s="53"/>
      <c r="D124" s="53"/>
      <c r="E124" s="53"/>
      <c r="F124" s="53"/>
    </row>
    <row r="125" ht="15.75" customHeight="1">
      <c r="A125" s="53"/>
      <c r="B125" s="53"/>
      <c r="C125" s="53"/>
      <c r="D125" s="53"/>
      <c r="E125" s="53"/>
      <c r="F125" s="53"/>
    </row>
    <row r="126" ht="15.75" customHeight="1">
      <c r="A126" s="53"/>
      <c r="B126" s="53"/>
      <c r="C126" s="53"/>
      <c r="D126" s="53"/>
      <c r="E126" s="53"/>
      <c r="F126" s="53"/>
    </row>
    <row r="127" ht="15.75" customHeight="1">
      <c r="A127" s="53"/>
      <c r="B127" s="53"/>
      <c r="C127" s="53"/>
      <c r="D127" s="53"/>
      <c r="E127" s="53"/>
      <c r="F127" s="53"/>
    </row>
    <row r="128" ht="15.75" customHeight="1">
      <c r="A128" s="53"/>
      <c r="B128" s="53"/>
      <c r="C128" s="53"/>
      <c r="D128" s="53"/>
      <c r="E128" s="53"/>
      <c r="F128" s="53"/>
    </row>
    <row r="129" ht="15.75" customHeight="1">
      <c r="A129" s="53"/>
      <c r="B129" s="53"/>
      <c r="C129" s="53"/>
      <c r="D129" s="53"/>
      <c r="E129" s="53"/>
      <c r="F129" s="53"/>
    </row>
    <row r="130" ht="15.75" customHeight="1">
      <c r="A130" s="53"/>
      <c r="B130" s="53"/>
      <c r="C130" s="53"/>
      <c r="D130" s="53"/>
      <c r="E130" s="53"/>
      <c r="F130" s="53"/>
    </row>
    <row r="131" ht="15.75" customHeight="1">
      <c r="A131" s="53"/>
      <c r="B131" s="53"/>
      <c r="C131" s="53"/>
      <c r="D131" s="53"/>
      <c r="E131" s="53"/>
      <c r="F131" s="53"/>
    </row>
    <row r="132" ht="15.75" customHeight="1">
      <c r="A132" s="53"/>
      <c r="B132" s="53"/>
      <c r="C132" s="53"/>
      <c r="D132" s="53"/>
      <c r="E132" s="53"/>
      <c r="F132" s="53"/>
    </row>
    <row r="133" ht="15.75" customHeight="1">
      <c r="A133" s="53"/>
      <c r="B133" s="53"/>
      <c r="C133" s="53"/>
      <c r="D133" s="53"/>
      <c r="E133" s="53"/>
      <c r="F133" s="53"/>
    </row>
    <row r="134" ht="15.75" customHeight="1">
      <c r="A134" s="53"/>
      <c r="B134" s="53"/>
      <c r="C134" s="53"/>
      <c r="D134" s="53"/>
      <c r="E134" s="53"/>
      <c r="F134" s="53"/>
    </row>
    <row r="135" ht="15.75" customHeight="1">
      <c r="A135" s="53"/>
      <c r="B135" s="53"/>
      <c r="C135" s="53"/>
      <c r="D135" s="53"/>
      <c r="E135" s="53"/>
      <c r="F135" s="53"/>
    </row>
    <row r="136" ht="15.75" customHeight="1">
      <c r="A136" s="53"/>
      <c r="B136" s="53"/>
      <c r="C136" s="53"/>
      <c r="D136" s="53"/>
      <c r="E136" s="53"/>
      <c r="F136" s="53"/>
    </row>
    <row r="137" ht="15.75" customHeight="1">
      <c r="A137" s="53"/>
      <c r="B137" s="53"/>
      <c r="C137" s="53"/>
      <c r="D137" s="53"/>
      <c r="E137" s="53"/>
      <c r="F137" s="53"/>
    </row>
    <row r="138" ht="15.75" customHeight="1">
      <c r="A138" s="53"/>
      <c r="B138" s="53"/>
      <c r="C138" s="53"/>
      <c r="D138" s="53"/>
      <c r="E138" s="53"/>
      <c r="F138" s="53"/>
    </row>
    <row r="139" ht="15.75" customHeight="1">
      <c r="A139" s="53"/>
      <c r="B139" s="53"/>
      <c r="C139" s="53"/>
      <c r="D139" s="53"/>
      <c r="E139" s="53"/>
      <c r="F139" s="53"/>
    </row>
    <row r="140" ht="15.75" customHeight="1">
      <c r="A140" s="53"/>
      <c r="B140" s="53"/>
      <c r="C140" s="53"/>
      <c r="D140" s="53"/>
      <c r="E140" s="53"/>
      <c r="F140" s="53"/>
    </row>
    <row r="141" ht="15.75" customHeight="1">
      <c r="A141" s="53"/>
      <c r="B141" s="53"/>
      <c r="C141" s="53"/>
      <c r="D141" s="53"/>
      <c r="E141" s="53"/>
      <c r="F141" s="53"/>
    </row>
    <row r="142" ht="15.75" customHeight="1">
      <c r="A142" s="53"/>
      <c r="B142" s="53"/>
      <c r="C142" s="53"/>
      <c r="D142" s="53"/>
      <c r="E142" s="53"/>
      <c r="F142" s="53"/>
    </row>
    <row r="143" ht="15.75" customHeight="1">
      <c r="A143" s="53"/>
      <c r="B143" s="53"/>
      <c r="C143" s="53"/>
      <c r="D143" s="53"/>
      <c r="E143" s="53"/>
      <c r="F143" s="53"/>
    </row>
    <row r="144" ht="15.75" customHeight="1">
      <c r="A144" s="53"/>
      <c r="B144" s="53"/>
      <c r="C144" s="53"/>
      <c r="D144" s="53"/>
      <c r="E144" s="53"/>
      <c r="F144" s="53"/>
    </row>
    <row r="145" ht="15.75" customHeight="1">
      <c r="A145" s="53"/>
      <c r="B145" s="53"/>
      <c r="C145" s="53"/>
      <c r="D145" s="53"/>
      <c r="E145" s="53"/>
      <c r="F145" s="53"/>
    </row>
    <row r="146" ht="15.75" customHeight="1">
      <c r="A146" s="53"/>
      <c r="B146" s="53"/>
      <c r="C146" s="53"/>
      <c r="D146" s="53"/>
      <c r="E146" s="53"/>
      <c r="F146" s="53"/>
    </row>
    <row r="147" ht="15.75" customHeight="1">
      <c r="A147" s="53"/>
      <c r="B147" s="53"/>
      <c r="C147" s="53"/>
      <c r="D147" s="53"/>
      <c r="E147" s="53"/>
      <c r="F147" s="53"/>
    </row>
    <row r="148" ht="15.75" customHeight="1">
      <c r="A148" s="53"/>
      <c r="B148" s="53"/>
      <c r="C148" s="53"/>
      <c r="D148" s="53"/>
      <c r="E148" s="53"/>
      <c r="F148" s="53"/>
    </row>
    <row r="149" ht="15.75" customHeight="1">
      <c r="A149" s="53"/>
      <c r="B149" s="53"/>
      <c r="C149" s="53"/>
      <c r="D149" s="53"/>
      <c r="E149" s="53"/>
      <c r="F149" s="53"/>
    </row>
    <row r="150" ht="15.75" customHeight="1">
      <c r="A150" s="53"/>
      <c r="B150" s="53"/>
      <c r="C150" s="53"/>
      <c r="D150" s="53"/>
      <c r="E150" s="53"/>
      <c r="F150" s="53"/>
    </row>
    <row r="151" ht="15.75" customHeight="1">
      <c r="A151" s="53"/>
      <c r="B151" s="53"/>
      <c r="C151" s="53"/>
      <c r="D151" s="53"/>
      <c r="E151" s="53"/>
      <c r="F151" s="53"/>
    </row>
    <row r="152" ht="15.75" customHeight="1">
      <c r="A152" s="53"/>
      <c r="B152" s="53"/>
      <c r="C152" s="53"/>
      <c r="D152" s="53"/>
      <c r="E152" s="53"/>
      <c r="F152" s="53"/>
    </row>
    <row r="153" ht="15.75" customHeight="1">
      <c r="A153" s="53"/>
      <c r="B153" s="53"/>
      <c r="C153" s="53"/>
      <c r="D153" s="53"/>
      <c r="E153" s="53"/>
      <c r="F153" s="53"/>
    </row>
    <row r="154" ht="15.75" customHeight="1">
      <c r="A154" s="53"/>
      <c r="B154" s="53"/>
      <c r="C154" s="53"/>
      <c r="D154" s="53"/>
      <c r="E154" s="53"/>
      <c r="F154" s="53"/>
    </row>
    <row r="155" ht="15.75" customHeight="1">
      <c r="A155" s="53"/>
      <c r="B155" s="53"/>
      <c r="C155" s="53"/>
      <c r="D155" s="53"/>
      <c r="E155" s="53"/>
      <c r="F155" s="53"/>
    </row>
    <row r="156" ht="15.75" customHeight="1">
      <c r="A156" s="53"/>
      <c r="B156" s="53"/>
      <c r="C156" s="53"/>
      <c r="D156" s="53"/>
      <c r="E156" s="53"/>
      <c r="F156" s="53"/>
    </row>
    <row r="157" ht="15.75" customHeight="1">
      <c r="A157" s="53"/>
      <c r="B157" s="53"/>
      <c r="C157" s="53"/>
      <c r="D157" s="53"/>
      <c r="E157" s="53"/>
      <c r="F157" s="53"/>
    </row>
    <row r="158" ht="15.75" customHeight="1">
      <c r="A158" s="53"/>
      <c r="B158" s="53"/>
      <c r="C158" s="53"/>
      <c r="D158" s="53"/>
      <c r="E158" s="53"/>
      <c r="F158" s="53"/>
    </row>
    <row r="159" ht="15.75" customHeight="1">
      <c r="A159" s="53"/>
      <c r="B159" s="53"/>
      <c r="C159" s="53"/>
      <c r="D159" s="53"/>
      <c r="E159" s="53"/>
      <c r="F159" s="53"/>
    </row>
    <row r="160" ht="15.75" customHeight="1">
      <c r="A160" s="53"/>
      <c r="B160" s="53"/>
      <c r="C160" s="53"/>
      <c r="D160" s="53"/>
      <c r="E160" s="53"/>
      <c r="F160" s="53"/>
    </row>
    <row r="161" ht="15.75" customHeight="1">
      <c r="A161" s="53"/>
      <c r="B161" s="53"/>
      <c r="C161" s="53"/>
      <c r="D161" s="53"/>
      <c r="E161" s="53"/>
      <c r="F161" s="53"/>
    </row>
    <row r="162" ht="15.75" customHeight="1">
      <c r="A162" s="53"/>
      <c r="B162" s="53"/>
      <c r="C162" s="53"/>
      <c r="D162" s="53"/>
      <c r="E162" s="53"/>
      <c r="F162" s="53"/>
    </row>
    <row r="163" ht="15.75" customHeight="1">
      <c r="A163" s="53"/>
      <c r="B163" s="53"/>
      <c r="C163" s="53"/>
      <c r="D163" s="53"/>
      <c r="E163" s="53"/>
      <c r="F163" s="53"/>
    </row>
    <row r="164" ht="15.75" customHeight="1">
      <c r="A164" s="53"/>
      <c r="B164" s="53"/>
      <c r="C164" s="53"/>
      <c r="D164" s="53"/>
      <c r="E164" s="53"/>
      <c r="F164" s="53"/>
    </row>
    <row r="165" ht="15.75" customHeight="1">
      <c r="A165" s="53"/>
      <c r="B165" s="53"/>
      <c r="C165" s="53"/>
      <c r="D165" s="53"/>
      <c r="E165" s="53"/>
      <c r="F165" s="53"/>
    </row>
    <row r="166" ht="15.75" customHeight="1">
      <c r="A166" s="53"/>
      <c r="B166" s="53"/>
      <c r="C166" s="53"/>
      <c r="D166" s="53"/>
      <c r="E166" s="53"/>
      <c r="F166" s="53"/>
    </row>
    <row r="167" ht="15.75" customHeight="1">
      <c r="A167" s="53"/>
      <c r="B167" s="53"/>
      <c r="C167" s="53"/>
      <c r="D167" s="53"/>
      <c r="E167" s="53"/>
      <c r="F167" s="53"/>
    </row>
    <row r="168" ht="15.75" customHeight="1">
      <c r="A168" s="53"/>
      <c r="B168" s="53"/>
      <c r="C168" s="53"/>
      <c r="D168" s="53"/>
      <c r="E168" s="53"/>
      <c r="F168" s="53"/>
    </row>
    <row r="169" ht="15.75" customHeight="1">
      <c r="A169" s="53"/>
      <c r="B169" s="53"/>
      <c r="C169" s="53"/>
      <c r="D169" s="53"/>
      <c r="E169" s="53"/>
      <c r="F169" s="53"/>
    </row>
    <row r="170" ht="15.75" customHeight="1">
      <c r="A170" s="53"/>
      <c r="B170" s="53"/>
      <c r="C170" s="53"/>
      <c r="D170" s="53"/>
      <c r="E170" s="53"/>
      <c r="F170" s="53"/>
    </row>
    <row r="171" ht="15.75" customHeight="1">
      <c r="A171" s="53"/>
      <c r="B171" s="53"/>
      <c r="C171" s="53"/>
      <c r="D171" s="53"/>
      <c r="E171" s="53"/>
      <c r="F171" s="53"/>
    </row>
    <row r="172" ht="15.75" customHeight="1">
      <c r="A172" s="53"/>
      <c r="B172" s="53"/>
      <c r="C172" s="53"/>
      <c r="D172" s="53"/>
      <c r="E172" s="53"/>
      <c r="F172" s="53"/>
    </row>
    <row r="173" ht="15.75" customHeight="1">
      <c r="A173" s="53"/>
      <c r="B173" s="53"/>
      <c r="C173" s="53"/>
      <c r="D173" s="53"/>
      <c r="E173" s="53"/>
      <c r="F173" s="53"/>
    </row>
    <row r="174" ht="15.75" customHeight="1">
      <c r="A174" s="53"/>
      <c r="B174" s="53"/>
      <c r="C174" s="53"/>
      <c r="D174" s="53"/>
      <c r="E174" s="53"/>
      <c r="F174" s="53"/>
    </row>
    <row r="175" ht="15.75" customHeight="1">
      <c r="A175" s="53"/>
      <c r="B175" s="53"/>
      <c r="C175" s="53"/>
      <c r="D175" s="53"/>
      <c r="E175" s="53"/>
      <c r="F175" s="53"/>
    </row>
    <row r="176" ht="15.75" customHeight="1">
      <c r="A176" s="53"/>
      <c r="B176" s="53"/>
      <c r="C176" s="53"/>
      <c r="D176" s="53"/>
      <c r="E176" s="53"/>
      <c r="F176" s="53"/>
    </row>
    <row r="177" ht="15.75" customHeight="1">
      <c r="A177" s="53"/>
      <c r="B177" s="53"/>
      <c r="C177" s="53"/>
      <c r="D177" s="53"/>
      <c r="E177" s="53"/>
      <c r="F177" s="53"/>
    </row>
    <row r="178" ht="15.75" customHeight="1">
      <c r="A178" s="53"/>
      <c r="B178" s="53"/>
      <c r="C178" s="53"/>
      <c r="D178" s="53"/>
      <c r="E178" s="53"/>
      <c r="F178" s="53"/>
    </row>
    <row r="179" ht="15.75" customHeight="1">
      <c r="A179" s="53"/>
      <c r="B179" s="53"/>
      <c r="C179" s="53"/>
      <c r="D179" s="53"/>
      <c r="E179" s="53"/>
      <c r="F179" s="53"/>
    </row>
    <row r="180" ht="15.75" customHeight="1">
      <c r="A180" s="53"/>
      <c r="B180" s="53"/>
      <c r="C180" s="53"/>
      <c r="D180" s="53"/>
      <c r="E180" s="53"/>
      <c r="F180" s="53"/>
    </row>
    <row r="181" ht="15.75" customHeight="1">
      <c r="A181" s="53"/>
      <c r="B181" s="53"/>
      <c r="C181" s="53"/>
      <c r="D181" s="53"/>
      <c r="E181" s="53"/>
      <c r="F181" s="53"/>
    </row>
    <row r="182" ht="15.75" customHeight="1">
      <c r="A182" s="53"/>
      <c r="B182" s="53"/>
      <c r="C182" s="53"/>
      <c r="D182" s="53"/>
      <c r="E182" s="53"/>
      <c r="F182" s="53"/>
    </row>
    <row r="183" ht="15.75" customHeight="1">
      <c r="A183" s="53"/>
      <c r="B183" s="53"/>
      <c r="C183" s="53"/>
      <c r="D183" s="53"/>
      <c r="E183" s="53"/>
      <c r="F183" s="53"/>
    </row>
    <row r="184" ht="15.75" customHeight="1">
      <c r="A184" s="53"/>
      <c r="B184" s="53"/>
      <c r="C184" s="53"/>
      <c r="D184" s="53"/>
      <c r="E184" s="53"/>
      <c r="F184" s="53"/>
    </row>
    <row r="185" ht="15.75" customHeight="1">
      <c r="A185" s="53"/>
      <c r="B185" s="53"/>
      <c r="C185" s="53"/>
      <c r="D185" s="53"/>
      <c r="E185" s="53"/>
      <c r="F185" s="53"/>
    </row>
    <row r="186" ht="15.75" customHeight="1">
      <c r="A186" s="53"/>
      <c r="B186" s="53"/>
      <c r="C186" s="53"/>
      <c r="D186" s="53"/>
      <c r="E186" s="53"/>
      <c r="F186" s="53"/>
    </row>
    <row r="187" ht="15.75" customHeight="1">
      <c r="A187" s="53"/>
      <c r="B187" s="53"/>
      <c r="C187" s="53"/>
      <c r="D187" s="53"/>
      <c r="E187" s="53"/>
      <c r="F187" s="53"/>
    </row>
    <row r="188" ht="15.75" customHeight="1">
      <c r="A188" s="53"/>
      <c r="B188" s="53"/>
      <c r="C188" s="53"/>
      <c r="D188" s="53"/>
      <c r="E188" s="53"/>
      <c r="F188" s="53"/>
    </row>
    <row r="189" ht="15.75" customHeight="1">
      <c r="A189" s="53"/>
      <c r="B189" s="53"/>
      <c r="C189" s="53"/>
      <c r="D189" s="53"/>
      <c r="E189" s="53"/>
      <c r="F189" s="53"/>
    </row>
    <row r="190" ht="15.75" customHeight="1">
      <c r="A190" s="53"/>
      <c r="B190" s="53"/>
      <c r="C190" s="53"/>
      <c r="D190" s="53"/>
      <c r="E190" s="53"/>
      <c r="F190" s="53"/>
    </row>
    <row r="191" ht="15.75" customHeight="1">
      <c r="A191" s="53"/>
      <c r="B191" s="53"/>
      <c r="C191" s="53"/>
      <c r="D191" s="53"/>
      <c r="E191" s="53"/>
      <c r="F191" s="53"/>
    </row>
    <row r="192" ht="15.75" customHeight="1">
      <c r="A192" s="53"/>
      <c r="B192" s="53"/>
      <c r="C192" s="53"/>
      <c r="D192" s="53"/>
      <c r="E192" s="53"/>
      <c r="F192" s="53"/>
    </row>
    <row r="193" ht="15.75" customHeight="1">
      <c r="A193" s="53"/>
      <c r="B193" s="53"/>
      <c r="C193" s="53"/>
      <c r="D193" s="53"/>
      <c r="E193" s="53"/>
      <c r="F193" s="53"/>
    </row>
    <row r="194" ht="15.75" customHeight="1">
      <c r="A194" s="53"/>
      <c r="B194" s="53"/>
      <c r="C194" s="53"/>
      <c r="D194" s="53"/>
      <c r="E194" s="53"/>
      <c r="F194" s="53"/>
    </row>
    <row r="195" ht="15.75" customHeight="1">
      <c r="A195" s="53"/>
      <c r="B195" s="53"/>
      <c r="C195" s="53"/>
      <c r="D195" s="53"/>
      <c r="E195" s="53"/>
      <c r="F195" s="53"/>
    </row>
    <row r="196" ht="15.75" customHeight="1">
      <c r="A196" s="53"/>
      <c r="B196" s="53"/>
      <c r="C196" s="53"/>
      <c r="D196" s="53"/>
      <c r="E196" s="53"/>
      <c r="F196" s="53"/>
    </row>
    <row r="197" ht="15.75" customHeight="1">
      <c r="A197" s="53"/>
      <c r="B197" s="53"/>
      <c r="C197" s="53"/>
      <c r="D197" s="53"/>
      <c r="E197" s="53"/>
      <c r="F197" s="53"/>
    </row>
    <row r="198" ht="15.75" customHeight="1">
      <c r="A198" s="53"/>
      <c r="B198" s="53"/>
      <c r="C198" s="53"/>
      <c r="D198" s="53"/>
      <c r="E198" s="53"/>
      <c r="F198" s="53"/>
    </row>
    <row r="199" ht="15.75" customHeight="1">
      <c r="A199" s="53"/>
      <c r="B199" s="53"/>
      <c r="C199" s="53"/>
      <c r="D199" s="53"/>
      <c r="E199" s="53"/>
      <c r="F199" s="53"/>
    </row>
    <row r="200" ht="15.75" customHeight="1">
      <c r="A200" s="53"/>
      <c r="B200" s="53"/>
      <c r="C200" s="53"/>
      <c r="D200" s="53"/>
      <c r="E200" s="53"/>
      <c r="F200" s="53"/>
    </row>
    <row r="201" ht="15.75" customHeight="1">
      <c r="A201" s="53"/>
      <c r="B201" s="53"/>
      <c r="C201" s="53"/>
      <c r="D201" s="53"/>
      <c r="E201" s="53"/>
      <c r="F201" s="53"/>
    </row>
    <row r="202" ht="15.75" customHeight="1">
      <c r="A202" s="53"/>
      <c r="B202" s="53"/>
      <c r="C202" s="53"/>
      <c r="D202" s="53"/>
      <c r="E202" s="53"/>
      <c r="F202" s="53"/>
    </row>
    <row r="203" ht="15.75" customHeight="1">
      <c r="A203" s="53"/>
      <c r="B203" s="53"/>
      <c r="C203" s="53"/>
      <c r="D203" s="53"/>
      <c r="E203" s="53"/>
      <c r="F203" s="53"/>
    </row>
    <row r="204" ht="15.75" customHeight="1">
      <c r="A204" s="53"/>
      <c r="B204" s="53"/>
      <c r="C204" s="53"/>
      <c r="D204" s="53"/>
      <c r="E204" s="53"/>
      <c r="F204" s="53"/>
    </row>
    <row r="205" ht="15.75" customHeight="1">
      <c r="A205" s="53"/>
      <c r="B205" s="53"/>
      <c r="C205" s="53"/>
      <c r="D205" s="53"/>
      <c r="E205" s="53"/>
      <c r="F205" s="53"/>
    </row>
    <row r="206" ht="15.75" customHeight="1">
      <c r="A206" s="53"/>
      <c r="B206" s="53"/>
      <c r="C206" s="53"/>
      <c r="D206" s="53"/>
      <c r="E206" s="53"/>
      <c r="F206" s="53"/>
    </row>
    <row r="207" ht="15.75" customHeight="1">
      <c r="A207" s="53"/>
      <c r="B207" s="53"/>
      <c r="C207" s="53"/>
      <c r="D207" s="53"/>
      <c r="E207" s="53"/>
      <c r="F207" s="53"/>
    </row>
    <row r="208" ht="15.75" customHeight="1">
      <c r="A208" s="53"/>
      <c r="B208" s="53"/>
      <c r="C208" s="53"/>
      <c r="D208" s="53"/>
      <c r="E208" s="53"/>
      <c r="F208" s="53"/>
    </row>
    <row r="209" ht="15.75" customHeight="1">
      <c r="A209" s="53"/>
      <c r="B209" s="53"/>
      <c r="C209" s="53"/>
      <c r="D209" s="53"/>
      <c r="E209" s="53"/>
      <c r="F209" s="53"/>
    </row>
    <row r="210" ht="15.75" customHeight="1">
      <c r="A210" s="53"/>
      <c r="B210" s="53"/>
      <c r="C210" s="53"/>
      <c r="D210" s="53"/>
      <c r="E210" s="53"/>
      <c r="F210" s="53"/>
    </row>
    <row r="211" ht="15.75" customHeight="1">
      <c r="A211" s="53"/>
      <c r="B211" s="53"/>
      <c r="C211" s="53"/>
      <c r="D211" s="53"/>
      <c r="E211" s="53"/>
      <c r="F211" s="53"/>
    </row>
    <row r="212" ht="15.75" customHeight="1">
      <c r="A212" s="53"/>
      <c r="B212" s="53"/>
      <c r="C212" s="53"/>
      <c r="D212" s="53"/>
      <c r="E212" s="53"/>
      <c r="F212" s="53"/>
    </row>
    <row r="213" ht="15.75" customHeight="1">
      <c r="A213" s="53"/>
      <c r="B213" s="53"/>
      <c r="C213" s="53"/>
      <c r="D213" s="53"/>
      <c r="E213" s="53"/>
      <c r="F213" s="53"/>
    </row>
    <row r="214" ht="15.75" customHeight="1">
      <c r="A214" s="53"/>
      <c r="B214" s="53"/>
      <c r="C214" s="53"/>
      <c r="D214" s="53"/>
      <c r="E214" s="53"/>
      <c r="F214" s="53"/>
    </row>
    <row r="215" ht="15.75" customHeight="1">
      <c r="A215" s="53"/>
      <c r="B215" s="53"/>
      <c r="C215" s="53"/>
      <c r="D215" s="53"/>
      <c r="E215" s="53"/>
      <c r="F215" s="53"/>
    </row>
    <row r="216" ht="15.75" customHeight="1">
      <c r="A216" s="53"/>
      <c r="B216" s="53"/>
      <c r="C216" s="53"/>
      <c r="D216" s="53"/>
      <c r="E216" s="53"/>
      <c r="F216" s="53"/>
    </row>
    <row r="217" ht="15.75" customHeight="1">
      <c r="A217" s="53"/>
      <c r="B217" s="53"/>
      <c r="C217" s="53"/>
      <c r="D217" s="53"/>
      <c r="E217" s="53"/>
      <c r="F217" s="53"/>
    </row>
    <row r="218" ht="15.75" customHeight="1">
      <c r="A218" s="53"/>
      <c r="B218" s="53"/>
      <c r="C218" s="53"/>
      <c r="D218" s="53"/>
      <c r="E218" s="53"/>
      <c r="F218" s="53"/>
    </row>
    <row r="219" ht="15.75" customHeight="1">
      <c r="A219" s="53"/>
      <c r="B219" s="53"/>
      <c r="C219" s="53"/>
      <c r="D219" s="53"/>
      <c r="E219" s="53"/>
      <c r="F219" s="53"/>
    </row>
    <row r="220" ht="15.75" customHeight="1">
      <c r="A220" s="53"/>
      <c r="B220" s="53"/>
      <c r="C220" s="53"/>
      <c r="D220" s="53"/>
      <c r="E220" s="53"/>
      <c r="F220" s="53"/>
    </row>
    <row r="221" ht="15.75" customHeight="1">
      <c r="A221" s="53"/>
      <c r="B221" s="53"/>
      <c r="C221" s="53"/>
      <c r="D221" s="53"/>
      <c r="E221" s="53"/>
      <c r="F221" s="53"/>
    </row>
    <row r="222" ht="15.75" customHeight="1">
      <c r="A222" s="53"/>
      <c r="B222" s="53"/>
      <c r="C222" s="53"/>
      <c r="D222" s="53"/>
      <c r="E222" s="53"/>
      <c r="F222" s="53"/>
    </row>
    <row r="223" ht="15.75" customHeight="1">
      <c r="A223" s="53"/>
      <c r="B223" s="53"/>
      <c r="C223" s="53"/>
      <c r="D223" s="53"/>
      <c r="E223" s="53"/>
      <c r="F223" s="53"/>
    </row>
    <row r="224" ht="15.75" customHeight="1">
      <c r="A224" s="53"/>
      <c r="B224" s="53"/>
      <c r="C224" s="53"/>
      <c r="D224" s="53"/>
      <c r="E224" s="53"/>
      <c r="F224" s="53"/>
    </row>
    <row r="225" ht="15.75" customHeight="1">
      <c r="A225" s="53"/>
      <c r="B225" s="53"/>
      <c r="C225" s="53"/>
      <c r="D225" s="53"/>
      <c r="E225" s="53"/>
      <c r="F225" s="53"/>
    </row>
    <row r="226" ht="15.75" customHeight="1">
      <c r="A226" s="53"/>
      <c r="B226" s="53"/>
      <c r="C226" s="53"/>
      <c r="D226" s="53"/>
      <c r="E226" s="53"/>
      <c r="F226" s="53"/>
    </row>
    <row r="227" ht="15.75" customHeight="1">
      <c r="A227" s="53"/>
      <c r="B227" s="53"/>
      <c r="C227" s="53"/>
      <c r="D227" s="53"/>
      <c r="E227" s="53"/>
      <c r="F227" s="53"/>
    </row>
    <row r="228" ht="15.75" customHeight="1">
      <c r="A228" s="53"/>
      <c r="B228" s="53"/>
      <c r="C228" s="53"/>
      <c r="D228" s="53"/>
      <c r="E228" s="53"/>
      <c r="F228" s="53"/>
    </row>
    <row r="229" ht="15.75" customHeight="1">
      <c r="A229" s="53"/>
      <c r="B229" s="53"/>
      <c r="C229" s="53"/>
      <c r="D229" s="53"/>
      <c r="E229" s="53"/>
      <c r="F229" s="53"/>
    </row>
    <row r="230" ht="15.75" customHeight="1">
      <c r="A230" s="53"/>
      <c r="B230" s="53"/>
      <c r="C230" s="53"/>
      <c r="D230" s="53"/>
      <c r="E230" s="53"/>
      <c r="F230" s="53"/>
    </row>
    <row r="231" ht="15.75" customHeight="1">
      <c r="A231" s="53"/>
      <c r="B231" s="53"/>
      <c r="C231" s="53"/>
      <c r="D231" s="53"/>
      <c r="E231" s="53"/>
      <c r="F231" s="53"/>
    </row>
    <row r="232" ht="15.75" customHeight="1">
      <c r="A232" s="53"/>
      <c r="B232" s="53"/>
      <c r="C232" s="53"/>
      <c r="D232" s="53"/>
      <c r="E232" s="53"/>
      <c r="F232" s="53"/>
    </row>
    <row r="233" ht="15.75" customHeight="1">
      <c r="A233" s="53"/>
      <c r="B233" s="53"/>
      <c r="C233" s="53"/>
      <c r="D233" s="53"/>
      <c r="E233" s="53"/>
      <c r="F233" s="53"/>
    </row>
    <row r="234" ht="15.75" customHeight="1">
      <c r="A234" s="53"/>
      <c r="B234" s="53"/>
      <c r="C234" s="53"/>
      <c r="D234" s="53"/>
      <c r="E234" s="53"/>
      <c r="F234" s="53"/>
    </row>
    <row r="235" ht="15.75" customHeight="1">
      <c r="A235" s="53"/>
      <c r="B235" s="53"/>
      <c r="C235" s="53"/>
      <c r="D235" s="53"/>
      <c r="E235" s="53"/>
      <c r="F235" s="53"/>
    </row>
    <row r="236" ht="15.75" customHeight="1">
      <c r="A236" s="53"/>
      <c r="B236" s="53"/>
      <c r="C236" s="53"/>
      <c r="D236" s="53"/>
      <c r="E236" s="53"/>
      <c r="F236" s="53"/>
    </row>
    <row r="237" ht="15.75" customHeight="1">
      <c r="A237" s="53"/>
      <c r="B237" s="53"/>
      <c r="C237" s="53"/>
      <c r="D237" s="53"/>
      <c r="E237" s="53"/>
      <c r="F237" s="53"/>
    </row>
    <row r="238" ht="15.75" customHeight="1">
      <c r="A238" s="53"/>
      <c r="B238" s="53"/>
      <c r="C238" s="53"/>
      <c r="D238" s="53"/>
      <c r="E238" s="53"/>
      <c r="F238" s="53"/>
    </row>
    <row r="239" ht="15.75" customHeight="1">
      <c r="A239" s="53"/>
      <c r="B239" s="53"/>
      <c r="C239" s="53"/>
      <c r="D239" s="53"/>
      <c r="E239" s="53"/>
      <c r="F239" s="53"/>
    </row>
    <row r="240" ht="15.75" customHeight="1">
      <c r="A240" s="53"/>
      <c r="B240" s="53"/>
      <c r="C240" s="53"/>
      <c r="D240" s="53"/>
      <c r="E240" s="53"/>
      <c r="F240" s="53"/>
    </row>
    <row r="241" ht="15.75" customHeight="1">
      <c r="A241" s="53"/>
      <c r="B241" s="53"/>
      <c r="C241" s="53"/>
      <c r="D241" s="53"/>
      <c r="E241" s="53"/>
      <c r="F241" s="53"/>
    </row>
    <row r="242" ht="15.75" customHeight="1">
      <c r="A242" s="53"/>
      <c r="B242" s="53"/>
      <c r="C242" s="53"/>
      <c r="D242" s="53"/>
      <c r="E242" s="53"/>
      <c r="F242" s="53"/>
    </row>
    <row r="243" ht="15.75" customHeight="1">
      <c r="A243" s="53"/>
      <c r="B243" s="53"/>
      <c r="C243" s="53"/>
      <c r="D243" s="53"/>
      <c r="E243" s="53"/>
      <c r="F243" s="53"/>
    </row>
    <row r="244" ht="15.75" customHeight="1">
      <c r="A244" s="53"/>
      <c r="B244" s="53"/>
      <c r="C244" s="53"/>
      <c r="D244" s="53"/>
      <c r="E244" s="53"/>
      <c r="F244" s="53"/>
    </row>
    <row r="245" ht="15.75" customHeight="1">
      <c r="A245" s="53"/>
      <c r="B245" s="53"/>
      <c r="C245" s="53"/>
      <c r="D245" s="53"/>
      <c r="E245" s="53"/>
      <c r="F245" s="53"/>
    </row>
    <row r="246" ht="15.75" customHeight="1">
      <c r="A246" s="53"/>
      <c r="B246" s="53"/>
      <c r="C246" s="53"/>
      <c r="D246" s="53"/>
      <c r="E246" s="53"/>
      <c r="F246" s="53"/>
    </row>
    <row r="247" ht="15.75" customHeight="1">
      <c r="A247" s="53"/>
      <c r="B247" s="53"/>
      <c r="C247" s="53"/>
      <c r="D247" s="53"/>
      <c r="E247" s="53"/>
      <c r="F247" s="53"/>
    </row>
    <row r="248" ht="15.75" customHeight="1">
      <c r="A248" s="53"/>
      <c r="B248" s="53"/>
      <c r="C248" s="53"/>
      <c r="D248" s="53"/>
      <c r="E248" s="53"/>
      <c r="F248" s="53"/>
    </row>
    <row r="249" ht="15.75" customHeight="1">
      <c r="A249" s="53"/>
      <c r="B249" s="53"/>
      <c r="C249" s="53"/>
      <c r="D249" s="53"/>
      <c r="E249" s="53"/>
      <c r="F249" s="53"/>
    </row>
    <row r="250" ht="15.75" customHeight="1">
      <c r="A250" s="53"/>
      <c r="B250" s="53"/>
      <c r="C250" s="53"/>
      <c r="D250" s="53"/>
      <c r="E250" s="53"/>
      <c r="F250" s="53"/>
    </row>
    <row r="251" ht="15.75" customHeight="1">
      <c r="A251" s="53"/>
      <c r="B251" s="53"/>
      <c r="C251" s="53"/>
      <c r="D251" s="53"/>
      <c r="E251" s="53"/>
      <c r="F251" s="53"/>
    </row>
    <row r="252" ht="15.75" customHeight="1">
      <c r="A252" s="53"/>
      <c r="B252" s="53"/>
      <c r="C252" s="53"/>
      <c r="D252" s="53"/>
      <c r="E252" s="53"/>
      <c r="F252" s="53"/>
    </row>
    <row r="253" ht="15.75" customHeight="1">
      <c r="A253" s="53"/>
      <c r="B253" s="53"/>
      <c r="C253" s="53"/>
      <c r="D253" s="53"/>
      <c r="E253" s="53"/>
      <c r="F253" s="53"/>
    </row>
    <row r="254" ht="15.75" customHeight="1">
      <c r="A254" s="53"/>
      <c r="B254" s="53"/>
      <c r="C254" s="53"/>
      <c r="D254" s="53"/>
      <c r="E254" s="53"/>
      <c r="F254" s="53"/>
    </row>
    <row r="255" ht="15.75" customHeight="1">
      <c r="A255" s="53"/>
      <c r="B255" s="53"/>
      <c r="C255" s="53"/>
      <c r="D255" s="53"/>
      <c r="E255" s="53"/>
      <c r="F255" s="53"/>
    </row>
    <row r="256" ht="15.75" customHeight="1">
      <c r="A256" s="53"/>
      <c r="B256" s="53"/>
      <c r="C256" s="53"/>
      <c r="D256" s="53"/>
      <c r="E256" s="53"/>
      <c r="F256" s="53"/>
    </row>
    <row r="257" ht="15.75" customHeight="1">
      <c r="A257" s="53"/>
      <c r="B257" s="53"/>
      <c r="C257" s="53"/>
      <c r="D257" s="53"/>
      <c r="E257" s="53"/>
      <c r="F257" s="53"/>
    </row>
    <row r="258" ht="15.75" customHeight="1">
      <c r="A258" s="53"/>
      <c r="B258" s="53"/>
      <c r="C258" s="53"/>
      <c r="D258" s="53"/>
      <c r="E258" s="53"/>
      <c r="F258" s="53"/>
    </row>
    <row r="259" ht="15.75" customHeight="1">
      <c r="A259" s="53"/>
      <c r="B259" s="53"/>
      <c r="C259" s="53"/>
      <c r="D259" s="53"/>
      <c r="E259" s="53"/>
      <c r="F259" s="53"/>
    </row>
    <row r="260" ht="15.75" customHeight="1">
      <c r="A260" s="53"/>
      <c r="B260" s="53"/>
      <c r="C260" s="53"/>
      <c r="D260" s="53"/>
      <c r="E260" s="53"/>
      <c r="F260" s="53"/>
    </row>
    <row r="261" ht="15.75" customHeight="1">
      <c r="A261" s="53"/>
      <c r="B261" s="53"/>
      <c r="C261" s="53"/>
      <c r="D261" s="53"/>
      <c r="E261" s="53"/>
      <c r="F261" s="53"/>
    </row>
    <row r="262" ht="15.75" customHeight="1">
      <c r="A262" s="53"/>
      <c r="B262" s="53"/>
      <c r="C262" s="53"/>
      <c r="D262" s="53"/>
      <c r="E262" s="53"/>
      <c r="F262" s="53"/>
    </row>
    <row r="263" ht="15.75" customHeight="1">
      <c r="A263" s="53"/>
      <c r="B263" s="53"/>
      <c r="C263" s="53"/>
      <c r="D263" s="53"/>
      <c r="E263" s="53"/>
      <c r="F263" s="53"/>
    </row>
    <row r="264" ht="15.75" customHeight="1">
      <c r="A264" s="53"/>
      <c r="B264" s="53"/>
      <c r="C264" s="53"/>
      <c r="D264" s="53"/>
      <c r="E264" s="53"/>
      <c r="F264" s="53"/>
    </row>
    <row r="265" ht="15.75" customHeight="1">
      <c r="A265" s="53"/>
      <c r="B265" s="53"/>
      <c r="C265" s="53"/>
      <c r="D265" s="53"/>
      <c r="E265" s="53"/>
      <c r="F265" s="53"/>
    </row>
    <row r="266" ht="15.75" customHeight="1">
      <c r="A266" s="53"/>
      <c r="B266" s="53"/>
      <c r="C266" s="53"/>
      <c r="D266" s="53"/>
      <c r="E266" s="53"/>
      <c r="F266" s="53"/>
    </row>
    <row r="267" ht="15.75" customHeight="1">
      <c r="A267" s="53"/>
      <c r="B267" s="53"/>
      <c r="C267" s="53"/>
      <c r="D267" s="53"/>
      <c r="E267" s="53"/>
      <c r="F267" s="53"/>
    </row>
    <row r="268" ht="15.75" customHeight="1">
      <c r="A268" s="53"/>
      <c r="B268" s="53"/>
      <c r="C268" s="53"/>
      <c r="D268" s="53"/>
      <c r="E268" s="53"/>
      <c r="F268" s="53"/>
    </row>
    <row r="269" ht="15.75" customHeight="1">
      <c r="A269" s="53"/>
      <c r="B269" s="53"/>
      <c r="C269" s="53"/>
      <c r="D269" s="53"/>
      <c r="E269" s="53"/>
      <c r="F269" s="53"/>
    </row>
    <row r="270" ht="15.75" customHeight="1">
      <c r="A270" s="53"/>
      <c r="B270" s="53"/>
      <c r="C270" s="53"/>
      <c r="D270" s="53"/>
      <c r="E270" s="53"/>
      <c r="F270" s="53"/>
    </row>
    <row r="271" ht="15.75" customHeight="1">
      <c r="A271" s="53"/>
      <c r="B271" s="53"/>
      <c r="C271" s="53"/>
      <c r="D271" s="53"/>
      <c r="E271" s="53"/>
      <c r="F271" s="53"/>
    </row>
    <row r="272" ht="15.75" customHeight="1">
      <c r="A272" s="53"/>
      <c r="B272" s="53"/>
      <c r="C272" s="53"/>
      <c r="D272" s="53"/>
      <c r="E272" s="53"/>
      <c r="F272" s="53"/>
    </row>
    <row r="273" ht="15.75" customHeight="1">
      <c r="A273" s="53"/>
      <c r="B273" s="53"/>
      <c r="C273" s="53"/>
      <c r="D273" s="53"/>
      <c r="E273" s="53"/>
      <c r="F273" s="53"/>
    </row>
    <row r="274" ht="15.75" customHeight="1">
      <c r="A274" s="53"/>
      <c r="B274" s="53"/>
      <c r="C274" s="53"/>
      <c r="D274" s="53"/>
      <c r="E274" s="53"/>
      <c r="F274" s="53"/>
    </row>
    <row r="275" ht="15.75" customHeight="1">
      <c r="A275" s="53"/>
      <c r="B275" s="53"/>
      <c r="C275" s="53"/>
      <c r="D275" s="53"/>
      <c r="E275" s="53"/>
      <c r="F275" s="53"/>
    </row>
    <row r="276" ht="15.75" customHeight="1">
      <c r="A276" s="53"/>
      <c r="B276" s="53"/>
      <c r="C276" s="53"/>
      <c r="D276" s="53"/>
      <c r="E276" s="53"/>
      <c r="F276" s="53"/>
    </row>
    <row r="277" ht="15.75" customHeight="1">
      <c r="A277" s="53"/>
      <c r="B277" s="53"/>
      <c r="C277" s="53"/>
      <c r="D277" s="53"/>
      <c r="E277" s="53"/>
      <c r="F277" s="53"/>
    </row>
    <row r="278" ht="15.75" customHeight="1">
      <c r="A278" s="53"/>
      <c r="B278" s="53"/>
      <c r="C278" s="53"/>
      <c r="D278" s="53"/>
      <c r="E278" s="53"/>
      <c r="F278" s="53"/>
    </row>
    <row r="279" ht="15.75" customHeight="1">
      <c r="A279" s="53"/>
      <c r="B279" s="53"/>
      <c r="C279" s="53"/>
      <c r="D279" s="53"/>
      <c r="E279" s="53"/>
      <c r="F279" s="53"/>
    </row>
    <row r="280" ht="15.75" customHeight="1">
      <c r="A280" s="53"/>
      <c r="B280" s="53"/>
      <c r="C280" s="53"/>
      <c r="D280" s="53"/>
      <c r="E280" s="53"/>
      <c r="F280" s="53"/>
    </row>
    <row r="281" ht="15.75" customHeight="1">
      <c r="A281" s="53"/>
      <c r="B281" s="53"/>
      <c r="C281" s="53"/>
      <c r="D281" s="53"/>
      <c r="E281" s="53"/>
      <c r="F281" s="53"/>
    </row>
    <row r="282" ht="15.75" customHeight="1">
      <c r="A282" s="53"/>
      <c r="B282" s="53"/>
      <c r="C282" s="53"/>
      <c r="D282" s="53"/>
      <c r="E282" s="53"/>
      <c r="F282" s="53"/>
    </row>
    <row r="283" ht="15.75" customHeight="1">
      <c r="A283" s="53"/>
      <c r="B283" s="53"/>
      <c r="C283" s="53"/>
      <c r="D283" s="53"/>
      <c r="E283" s="53"/>
      <c r="F283" s="53"/>
    </row>
    <row r="284" ht="15.75" customHeight="1">
      <c r="A284" s="53"/>
      <c r="B284" s="53"/>
      <c r="C284" s="53"/>
      <c r="D284" s="53"/>
      <c r="E284" s="53"/>
      <c r="F284" s="53"/>
    </row>
    <row r="285" ht="15.75" customHeight="1">
      <c r="A285" s="53"/>
      <c r="B285" s="53"/>
      <c r="C285" s="53"/>
      <c r="D285" s="53"/>
      <c r="E285" s="53"/>
      <c r="F285" s="53"/>
    </row>
    <row r="286" ht="15.75" customHeight="1">
      <c r="A286" s="53"/>
      <c r="B286" s="53"/>
      <c r="C286" s="53"/>
      <c r="D286" s="53"/>
      <c r="E286" s="53"/>
      <c r="F286" s="53"/>
    </row>
    <row r="287" ht="15.75" customHeight="1">
      <c r="A287" s="53"/>
      <c r="B287" s="53"/>
      <c r="C287" s="53"/>
      <c r="D287" s="53"/>
      <c r="E287" s="53"/>
      <c r="F287" s="53"/>
    </row>
    <row r="288" ht="15.75" customHeight="1">
      <c r="A288" s="53"/>
      <c r="B288" s="53"/>
      <c r="C288" s="53"/>
      <c r="D288" s="53"/>
      <c r="E288" s="53"/>
      <c r="F288" s="53"/>
    </row>
    <row r="289" ht="15.75" customHeight="1">
      <c r="A289" s="53"/>
      <c r="B289" s="53"/>
      <c r="C289" s="53"/>
      <c r="D289" s="53"/>
      <c r="E289" s="53"/>
      <c r="F289" s="53"/>
    </row>
    <row r="290" ht="15.75" customHeight="1">
      <c r="A290" s="53"/>
      <c r="B290" s="53"/>
      <c r="C290" s="53"/>
      <c r="D290" s="53"/>
      <c r="E290" s="53"/>
      <c r="F290" s="53"/>
    </row>
    <row r="291" ht="15.75" customHeight="1">
      <c r="A291" s="53"/>
      <c r="B291" s="53"/>
      <c r="C291" s="53"/>
      <c r="D291" s="53"/>
      <c r="E291" s="53"/>
      <c r="F291" s="53"/>
    </row>
    <row r="292" ht="15.75" customHeight="1">
      <c r="A292" s="53"/>
      <c r="B292" s="53"/>
      <c r="C292" s="53"/>
      <c r="D292" s="53"/>
      <c r="E292" s="53"/>
      <c r="F292" s="53"/>
    </row>
    <row r="293" ht="15.75" customHeight="1">
      <c r="A293" s="53"/>
      <c r="B293" s="53"/>
      <c r="C293" s="53"/>
      <c r="D293" s="53"/>
      <c r="E293" s="53"/>
      <c r="F293" s="53"/>
    </row>
    <row r="294" ht="15.75" customHeight="1">
      <c r="A294" s="53"/>
      <c r="B294" s="53"/>
      <c r="C294" s="53"/>
      <c r="D294" s="53"/>
      <c r="E294" s="53"/>
      <c r="F294" s="53"/>
    </row>
    <row r="295" ht="15.75" customHeight="1">
      <c r="A295" s="53"/>
      <c r="B295" s="53"/>
      <c r="C295" s="53"/>
      <c r="D295" s="53"/>
      <c r="E295" s="53"/>
      <c r="F295" s="53"/>
    </row>
    <row r="296" ht="15.75" customHeight="1">
      <c r="A296" s="53"/>
      <c r="B296" s="53"/>
      <c r="C296" s="53"/>
      <c r="D296" s="53"/>
      <c r="E296" s="53"/>
      <c r="F296" s="53"/>
    </row>
    <row r="297" ht="15.75" customHeight="1">
      <c r="A297" s="53"/>
      <c r="B297" s="53"/>
      <c r="C297" s="53"/>
      <c r="D297" s="53"/>
      <c r="E297" s="53"/>
      <c r="F297" s="53"/>
    </row>
    <row r="298" ht="15.75" customHeight="1">
      <c r="A298" s="53"/>
      <c r="B298" s="53"/>
      <c r="C298" s="53"/>
      <c r="D298" s="53"/>
      <c r="E298" s="53"/>
      <c r="F298" s="53"/>
    </row>
    <row r="299" ht="15.75" customHeight="1">
      <c r="A299" s="53"/>
      <c r="B299" s="53"/>
      <c r="C299" s="53"/>
      <c r="D299" s="53"/>
      <c r="E299" s="53"/>
      <c r="F299" s="53"/>
    </row>
    <row r="300" ht="15.75" customHeight="1">
      <c r="A300" s="53"/>
      <c r="B300" s="53"/>
      <c r="C300" s="53"/>
      <c r="D300" s="53"/>
      <c r="E300" s="53"/>
      <c r="F300" s="53"/>
    </row>
    <row r="301" ht="15.75" customHeight="1">
      <c r="A301" s="53"/>
      <c r="B301" s="53"/>
      <c r="C301" s="53"/>
      <c r="D301" s="53"/>
      <c r="E301" s="53"/>
      <c r="F301" s="53"/>
    </row>
    <row r="302" ht="15.75" customHeight="1">
      <c r="A302" s="53"/>
      <c r="B302" s="53"/>
      <c r="C302" s="53"/>
      <c r="D302" s="53"/>
      <c r="E302" s="53"/>
      <c r="F302" s="53"/>
    </row>
    <row r="303" ht="15.75" customHeight="1">
      <c r="A303" s="53"/>
      <c r="B303" s="53"/>
      <c r="C303" s="53"/>
      <c r="D303" s="53"/>
      <c r="E303" s="53"/>
      <c r="F303" s="53"/>
    </row>
    <row r="304" ht="15.75" customHeight="1">
      <c r="A304" s="53"/>
      <c r="B304" s="53"/>
      <c r="C304" s="53"/>
      <c r="D304" s="53"/>
      <c r="E304" s="53"/>
      <c r="F304" s="53"/>
    </row>
    <row r="305" ht="15.75" customHeight="1">
      <c r="A305" s="53"/>
      <c r="B305" s="53"/>
      <c r="C305" s="53"/>
      <c r="D305" s="53"/>
      <c r="E305" s="53"/>
      <c r="F305" s="53"/>
    </row>
    <row r="306" ht="15.75" customHeight="1">
      <c r="A306" s="53"/>
      <c r="B306" s="53"/>
      <c r="C306" s="53"/>
      <c r="D306" s="53"/>
      <c r="E306" s="53"/>
      <c r="F306" s="53"/>
    </row>
    <row r="307" ht="15.75" customHeight="1">
      <c r="A307" s="53"/>
      <c r="B307" s="53"/>
      <c r="C307" s="53"/>
      <c r="D307" s="53"/>
      <c r="E307" s="53"/>
      <c r="F307" s="53"/>
    </row>
    <row r="308" ht="15.75" customHeight="1">
      <c r="A308" s="53"/>
      <c r="B308" s="53"/>
      <c r="C308" s="53"/>
      <c r="D308" s="53"/>
      <c r="E308" s="53"/>
      <c r="F308" s="53"/>
    </row>
    <row r="309" ht="15.75" customHeight="1">
      <c r="A309" s="53"/>
      <c r="B309" s="53"/>
      <c r="C309" s="53"/>
      <c r="D309" s="53"/>
      <c r="E309" s="53"/>
      <c r="F309" s="53"/>
    </row>
    <row r="310" ht="15.75" customHeight="1">
      <c r="A310" s="53"/>
      <c r="B310" s="53"/>
      <c r="C310" s="53"/>
      <c r="D310" s="53"/>
      <c r="E310" s="53"/>
      <c r="F310" s="53"/>
    </row>
    <row r="311" ht="15.75" customHeight="1">
      <c r="A311" s="53"/>
      <c r="B311" s="53"/>
      <c r="C311" s="53"/>
      <c r="D311" s="53"/>
      <c r="E311" s="53"/>
      <c r="F311" s="53"/>
    </row>
    <row r="312" ht="15.75" customHeight="1">
      <c r="A312" s="53"/>
      <c r="B312" s="53"/>
      <c r="C312" s="53"/>
      <c r="D312" s="53"/>
      <c r="E312" s="53"/>
      <c r="F312" s="53"/>
    </row>
    <row r="313" ht="15.75" customHeight="1">
      <c r="A313" s="53"/>
      <c r="B313" s="53"/>
      <c r="C313" s="53"/>
      <c r="D313" s="53"/>
      <c r="E313" s="53"/>
      <c r="F313" s="53"/>
    </row>
    <row r="314" ht="15.75" customHeight="1">
      <c r="A314" s="53"/>
      <c r="B314" s="53"/>
      <c r="C314" s="53"/>
      <c r="D314" s="53"/>
      <c r="E314" s="53"/>
      <c r="F314" s="53"/>
    </row>
    <row r="315" ht="15.75" customHeight="1">
      <c r="A315" s="53"/>
      <c r="B315" s="53"/>
      <c r="C315" s="53"/>
      <c r="D315" s="53"/>
      <c r="E315" s="53"/>
      <c r="F315" s="53"/>
    </row>
    <row r="316" ht="15.75" customHeight="1">
      <c r="A316" s="53"/>
      <c r="B316" s="53"/>
      <c r="C316" s="53"/>
      <c r="D316" s="53"/>
      <c r="E316" s="53"/>
      <c r="F316" s="53"/>
    </row>
    <row r="317" ht="15.75" customHeight="1">
      <c r="A317" s="53"/>
      <c r="B317" s="53"/>
      <c r="C317" s="53"/>
      <c r="D317" s="53"/>
      <c r="E317" s="53"/>
      <c r="F317" s="53"/>
    </row>
    <row r="318" ht="15.75" customHeight="1">
      <c r="A318" s="53"/>
      <c r="B318" s="53"/>
      <c r="C318" s="53"/>
      <c r="D318" s="53"/>
      <c r="E318" s="53"/>
      <c r="F318" s="53"/>
    </row>
    <row r="319" ht="15.75" customHeight="1">
      <c r="A319" s="53"/>
      <c r="B319" s="53"/>
      <c r="C319" s="53"/>
      <c r="D319" s="53"/>
      <c r="E319" s="53"/>
      <c r="F319" s="53"/>
    </row>
    <row r="320" ht="15.75" customHeight="1">
      <c r="A320" s="53"/>
      <c r="B320" s="53"/>
      <c r="C320" s="53"/>
      <c r="D320" s="53"/>
      <c r="E320" s="53"/>
      <c r="F320" s="53"/>
    </row>
    <row r="321" ht="15.75" customHeight="1">
      <c r="A321" s="53"/>
      <c r="B321" s="53"/>
      <c r="C321" s="53"/>
      <c r="D321" s="53"/>
      <c r="E321" s="53"/>
      <c r="F321" s="53"/>
    </row>
    <row r="322" ht="15.75" customHeight="1">
      <c r="A322" s="53"/>
      <c r="B322" s="53"/>
      <c r="C322" s="53"/>
      <c r="D322" s="53"/>
      <c r="E322" s="53"/>
      <c r="F322" s="53"/>
    </row>
    <row r="323" ht="15.75" customHeight="1">
      <c r="A323" s="53"/>
      <c r="B323" s="53"/>
      <c r="C323" s="53"/>
      <c r="D323" s="53"/>
      <c r="E323" s="53"/>
      <c r="F323" s="53"/>
    </row>
    <row r="324" ht="15.75" customHeight="1">
      <c r="A324" s="53"/>
      <c r="B324" s="53"/>
      <c r="C324" s="53"/>
      <c r="D324" s="53"/>
      <c r="E324" s="53"/>
      <c r="F324" s="53"/>
    </row>
    <row r="325" ht="15.75" customHeight="1">
      <c r="A325" s="53"/>
      <c r="B325" s="53"/>
      <c r="C325" s="53"/>
      <c r="D325" s="53"/>
      <c r="E325" s="53"/>
      <c r="F325" s="53"/>
    </row>
    <row r="326" ht="15.75" customHeight="1">
      <c r="A326" s="53"/>
      <c r="B326" s="53"/>
      <c r="C326" s="53"/>
      <c r="D326" s="53"/>
      <c r="E326" s="53"/>
      <c r="F326" s="53"/>
    </row>
    <row r="327" ht="15.75" customHeight="1">
      <c r="A327" s="53"/>
      <c r="B327" s="53"/>
      <c r="C327" s="53"/>
      <c r="D327" s="53"/>
      <c r="E327" s="53"/>
      <c r="F327" s="53"/>
    </row>
    <row r="328" ht="15.75" customHeight="1">
      <c r="A328" s="53"/>
      <c r="B328" s="53"/>
      <c r="C328" s="53"/>
      <c r="D328" s="53"/>
      <c r="E328" s="53"/>
      <c r="F328" s="53"/>
    </row>
    <row r="329" ht="15.75" customHeight="1">
      <c r="A329" s="53"/>
      <c r="B329" s="53"/>
      <c r="C329" s="53"/>
      <c r="D329" s="53"/>
      <c r="E329" s="53"/>
      <c r="F329" s="53"/>
    </row>
    <row r="330" ht="15.75" customHeight="1">
      <c r="A330" s="53"/>
      <c r="B330" s="53"/>
      <c r="C330" s="53"/>
      <c r="D330" s="53"/>
      <c r="E330" s="53"/>
      <c r="F330" s="53"/>
    </row>
    <row r="331" ht="15.75" customHeight="1">
      <c r="A331" s="53"/>
      <c r="B331" s="53"/>
      <c r="C331" s="53"/>
      <c r="D331" s="53"/>
      <c r="E331" s="53"/>
      <c r="F331" s="53"/>
    </row>
    <row r="332" ht="15.75" customHeight="1">
      <c r="A332" s="53"/>
      <c r="B332" s="53"/>
      <c r="C332" s="53"/>
      <c r="D332" s="53"/>
      <c r="E332" s="53"/>
      <c r="F332" s="53"/>
    </row>
    <row r="333" ht="15.75" customHeight="1">
      <c r="A333" s="53"/>
      <c r="B333" s="53"/>
      <c r="C333" s="53"/>
      <c r="D333" s="53"/>
      <c r="E333" s="53"/>
      <c r="F333" s="53"/>
    </row>
    <row r="334" ht="15.75" customHeight="1">
      <c r="A334" s="53"/>
      <c r="B334" s="53"/>
      <c r="C334" s="53"/>
      <c r="D334" s="53"/>
      <c r="E334" s="53"/>
      <c r="F334" s="53"/>
    </row>
    <row r="335" ht="15.75" customHeight="1">
      <c r="A335" s="53"/>
      <c r="B335" s="53"/>
      <c r="C335" s="53"/>
      <c r="D335" s="53"/>
      <c r="E335" s="53"/>
      <c r="F335" s="53"/>
    </row>
    <row r="336" ht="15.75" customHeight="1">
      <c r="A336" s="53"/>
      <c r="B336" s="53"/>
      <c r="C336" s="53"/>
      <c r="D336" s="53"/>
      <c r="E336" s="53"/>
      <c r="F336" s="53"/>
    </row>
    <row r="337" ht="15.75" customHeight="1">
      <c r="A337" s="53"/>
      <c r="B337" s="53"/>
      <c r="C337" s="53"/>
      <c r="D337" s="53"/>
      <c r="E337" s="53"/>
      <c r="F337" s="53"/>
    </row>
    <row r="338" ht="15.75" customHeight="1">
      <c r="A338" s="53"/>
      <c r="B338" s="53"/>
      <c r="C338" s="53"/>
      <c r="D338" s="53"/>
      <c r="E338" s="53"/>
      <c r="F338" s="53"/>
    </row>
    <row r="339" ht="15.75" customHeight="1">
      <c r="A339" s="53"/>
      <c r="B339" s="53"/>
      <c r="C339" s="53"/>
      <c r="D339" s="53"/>
      <c r="E339" s="53"/>
      <c r="F339" s="53"/>
    </row>
    <row r="340" ht="15.75" customHeight="1">
      <c r="A340" s="53"/>
      <c r="B340" s="53"/>
      <c r="C340" s="53"/>
      <c r="D340" s="53"/>
      <c r="E340" s="53"/>
      <c r="F340" s="53"/>
    </row>
    <row r="341" ht="15.75" customHeight="1">
      <c r="A341" s="53"/>
      <c r="B341" s="53"/>
      <c r="C341" s="53"/>
      <c r="D341" s="53"/>
      <c r="E341" s="53"/>
      <c r="F341" s="53"/>
    </row>
    <row r="342" ht="15.75" customHeight="1">
      <c r="A342" s="53"/>
      <c r="B342" s="53"/>
      <c r="C342" s="53"/>
      <c r="D342" s="53"/>
      <c r="E342" s="53"/>
      <c r="F342" s="53"/>
    </row>
    <row r="343" ht="15.75" customHeight="1">
      <c r="A343" s="53"/>
      <c r="B343" s="53"/>
      <c r="C343" s="53"/>
      <c r="D343" s="53"/>
      <c r="E343" s="53"/>
      <c r="F343" s="53"/>
    </row>
    <row r="344" ht="15.75" customHeight="1">
      <c r="A344" s="53"/>
      <c r="B344" s="53"/>
      <c r="C344" s="53"/>
      <c r="D344" s="53"/>
      <c r="E344" s="53"/>
      <c r="F344" s="53"/>
    </row>
    <row r="345" ht="15.75" customHeight="1">
      <c r="A345" s="53"/>
      <c r="B345" s="53"/>
      <c r="C345" s="53"/>
      <c r="D345" s="53"/>
      <c r="E345" s="53"/>
      <c r="F345" s="53"/>
    </row>
    <row r="346" ht="15.75" customHeight="1">
      <c r="A346" s="53"/>
      <c r="B346" s="53"/>
      <c r="C346" s="53"/>
      <c r="D346" s="53"/>
      <c r="E346" s="53"/>
      <c r="F346" s="53"/>
    </row>
    <row r="347" ht="15.75" customHeight="1">
      <c r="A347" s="53"/>
      <c r="B347" s="53"/>
      <c r="C347" s="53"/>
      <c r="D347" s="53"/>
      <c r="E347" s="53"/>
      <c r="F347" s="53"/>
    </row>
    <row r="348" ht="15.75" customHeight="1">
      <c r="A348" s="53"/>
      <c r="B348" s="53"/>
      <c r="C348" s="53"/>
      <c r="D348" s="53"/>
      <c r="E348" s="53"/>
      <c r="F348" s="53"/>
    </row>
    <row r="349" ht="15.75" customHeight="1">
      <c r="A349" s="53"/>
      <c r="B349" s="53"/>
      <c r="C349" s="53"/>
      <c r="D349" s="53"/>
      <c r="E349" s="53"/>
      <c r="F349" s="53"/>
    </row>
    <row r="350" ht="15.75" customHeight="1">
      <c r="A350" s="53"/>
      <c r="B350" s="53"/>
      <c r="C350" s="53"/>
      <c r="D350" s="53"/>
      <c r="E350" s="53"/>
      <c r="F350" s="53"/>
    </row>
    <row r="351" ht="15.75" customHeight="1">
      <c r="A351" s="53"/>
      <c r="B351" s="53"/>
      <c r="C351" s="53"/>
      <c r="D351" s="53"/>
      <c r="E351" s="53"/>
      <c r="F351" s="53"/>
    </row>
    <row r="352" ht="15.75" customHeight="1">
      <c r="A352" s="53"/>
      <c r="B352" s="53"/>
      <c r="C352" s="53"/>
      <c r="D352" s="53"/>
      <c r="E352" s="53"/>
      <c r="F352" s="53"/>
    </row>
    <row r="353" ht="15.75" customHeight="1">
      <c r="A353" s="53"/>
      <c r="B353" s="53"/>
      <c r="C353" s="53"/>
      <c r="D353" s="53"/>
      <c r="E353" s="53"/>
      <c r="F353" s="53"/>
    </row>
    <row r="354" ht="15.75" customHeight="1">
      <c r="A354" s="53"/>
      <c r="B354" s="53"/>
      <c r="C354" s="53"/>
      <c r="D354" s="53"/>
      <c r="E354" s="53"/>
      <c r="F354" s="53"/>
    </row>
    <row r="355" ht="15.75" customHeight="1">
      <c r="A355" s="53"/>
      <c r="B355" s="53"/>
      <c r="C355" s="53"/>
      <c r="D355" s="53"/>
      <c r="E355" s="53"/>
      <c r="F355" s="53"/>
    </row>
    <row r="356" ht="15.75" customHeight="1">
      <c r="A356" s="53"/>
      <c r="B356" s="53"/>
      <c r="C356" s="53"/>
      <c r="D356" s="53"/>
      <c r="E356" s="53"/>
      <c r="F356" s="53"/>
    </row>
    <row r="357" ht="15.75" customHeight="1">
      <c r="A357" s="53"/>
      <c r="B357" s="53"/>
      <c r="C357" s="53"/>
      <c r="D357" s="53"/>
      <c r="E357" s="53"/>
      <c r="F357" s="53"/>
    </row>
    <row r="358" ht="15.75" customHeight="1">
      <c r="A358" s="53"/>
      <c r="B358" s="53"/>
      <c r="C358" s="53"/>
      <c r="D358" s="53"/>
      <c r="E358" s="53"/>
      <c r="F358" s="53"/>
    </row>
    <row r="359" ht="15.75" customHeight="1">
      <c r="A359" s="53"/>
      <c r="B359" s="53"/>
      <c r="C359" s="53"/>
      <c r="D359" s="53"/>
      <c r="E359" s="53"/>
      <c r="F359" s="53"/>
    </row>
    <row r="360" ht="15.75" customHeight="1">
      <c r="A360" s="53"/>
      <c r="B360" s="53"/>
      <c r="C360" s="53"/>
      <c r="D360" s="53"/>
      <c r="E360" s="53"/>
      <c r="F360" s="53"/>
    </row>
    <row r="361" ht="15.75" customHeight="1">
      <c r="A361" s="53"/>
      <c r="B361" s="53"/>
      <c r="C361" s="53"/>
      <c r="D361" s="53"/>
      <c r="E361" s="53"/>
      <c r="F361" s="53"/>
    </row>
    <row r="362" ht="15.75" customHeight="1">
      <c r="A362" s="53"/>
      <c r="B362" s="53"/>
      <c r="C362" s="53"/>
      <c r="D362" s="53"/>
      <c r="E362" s="53"/>
      <c r="F362" s="53"/>
    </row>
    <row r="363" ht="15.75" customHeight="1">
      <c r="A363" s="53"/>
      <c r="B363" s="53"/>
      <c r="C363" s="53"/>
      <c r="D363" s="53"/>
      <c r="E363" s="53"/>
      <c r="F363" s="53"/>
    </row>
    <row r="364" ht="15.75" customHeight="1">
      <c r="A364" s="53"/>
      <c r="B364" s="53"/>
      <c r="C364" s="53"/>
      <c r="D364" s="53"/>
      <c r="E364" s="53"/>
      <c r="F364" s="53"/>
    </row>
    <row r="365" ht="15.75" customHeight="1">
      <c r="A365" s="53"/>
      <c r="B365" s="53"/>
      <c r="C365" s="53"/>
      <c r="D365" s="53"/>
      <c r="E365" s="53"/>
      <c r="F365" s="53"/>
    </row>
    <row r="366" ht="15.75" customHeight="1">
      <c r="A366" s="53"/>
      <c r="B366" s="53"/>
      <c r="C366" s="53"/>
      <c r="D366" s="53"/>
      <c r="E366" s="53"/>
      <c r="F366" s="53"/>
    </row>
    <row r="367" ht="15.75" customHeight="1">
      <c r="A367" s="53"/>
      <c r="B367" s="53"/>
      <c r="C367" s="53"/>
      <c r="D367" s="53"/>
      <c r="E367" s="53"/>
      <c r="F367" s="53"/>
    </row>
    <row r="368" ht="15.75" customHeight="1">
      <c r="A368" s="53"/>
      <c r="B368" s="53"/>
      <c r="C368" s="53"/>
      <c r="D368" s="53"/>
      <c r="E368" s="53"/>
      <c r="F368" s="53"/>
    </row>
    <row r="369" ht="15.75" customHeight="1">
      <c r="A369" s="53"/>
      <c r="B369" s="53"/>
      <c r="C369" s="53"/>
      <c r="D369" s="53"/>
      <c r="E369" s="53"/>
      <c r="F369" s="53"/>
    </row>
    <row r="370" ht="15.75" customHeight="1">
      <c r="A370" s="53"/>
      <c r="B370" s="53"/>
      <c r="C370" s="53"/>
      <c r="D370" s="53"/>
      <c r="E370" s="53"/>
      <c r="F370" s="53"/>
    </row>
    <row r="371" ht="15.75" customHeight="1">
      <c r="A371" s="53"/>
      <c r="B371" s="53"/>
      <c r="C371" s="53"/>
      <c r="D371" s="53"/>
      <c r="E371" s="53"/>
      <c r="F371" s="53"/>
    </row>
    <row r="372" ht="15.75" customHeight="1">
      <c r="A372" s="53"/>
      <c r="B372" s="53"/>
      <c r="C372" s="53"/>
      <c r="D372" s="53"/>
      <c r="E372" s="53"/>
      <c r="F372" s="53"/>
    </row>
    <row r="373" ht="15.75" customHeight="1">
      <c r="A373" s="53"/>
      <c r="B373" s="53"/>
      <c r="C373" s="53"/>
      <c r="D373" s="53"/>
      <c r="E373" s="53"/>
      <c r="F373" s="53"/>
    </row>
    <row r="374" ht="15.75" customHeight="1">
      <c r="A374" s="53"/>
      <c r="B374" s="53"/>
      <c r="C374" s="53"/>
      <c r="D374" s="53"/>
      <c r="E374" s="53"/>
      <c r="F374" s="53"/>
    </row>
    <row r="375" ht="15.75" customHeight="1">
      <c r="A375" s="53"/>
      <c r="B375" s="53"/>
      <c r="C375" s="53"/>
      <c r="D375" s="53"/>
      <c r="E375" s="53"/>
      <c r="F375" s="53"/>
    </row>
    <row r="376" ht="15.75" customHeight="1">
      <c r="A376" s="53"/>
      <c r="B376" s="53"/>
      <c r="C376" s="53"/>
      <c r="D376" s="53"/>
      <c r="E376" s="53"/>
      <c r="F376" s="53"/>
    </row>
    <row r="377" ht="15.75" customHeight="1">
      <c r="A377" s="53"/>
      <c r="B377" s="53"/>
      <c r="C377" s="53"/>
      <c r="D377" s="53"/>
      <c r="E377" s="53"/>
      <c r="F377" s="53"/>
    </row>
    <row r="378" ht="15.75" customHeight="1">
      <c r="A378" s="53"/>
      <c r="B378" s="53"/>
      <c r="C378" s="53"/>
      <c r="D378" s="53"/>
      <c r="E378" s="53"/>
      <c r="F378" s="53"/>
    </row>
    <row r="379" ht="15.75" customHeight="1">
      <c r="A379" s="53"/>
      <c r="B379" s="53"/>
      <c r="C379" s="53"/>
      <c r="D379" s="53"/>
      <c r="E379" s="53"/>
      <c r="F379" s="53"/>
    </row>
    <row r="380" ht="15.75" customHeight="1">
      <c r="A380" s="53"/>
      <c r="B380" s="53"/>
      <c r="C380" s="53"/>
      <c r="D380" s="53"/>
      <c r="E380" s="53"/>
      <c r="F380" s="53"/>
    </row>
    <row r="381" ht="15.75" customHeight="1">
      <c r="A381" s="53"/>
      <c r="B381" s="53"/>
      <c r="C381" s="53"/>
      <c r="D381" s="53"/>
      <c r="E381" s="53"/>
      <c r="F381" s="53"/>
    </row>
    <row r="382" ht="15.75" customHeight="1">
      <c r="A382" s="53"/>
      <c r="B382" s="53"/>
      <c r="C382" s="53"/>
      <c r="D382" s="53"/>
      <c r="E382" s="53"/>
      <c r="F382" s="53"/>
    </row>
    <row r="383" ht="15.75" customHeight="1">
      <c r="A383" s="53"/>
      <c r="B383" s="53"/>
      <c r="C383" s="53"/>
      <c r="D383" s="53"/>
      <c r="E383" s="53"/>
      <c r="F383" s="53"/>
    </row>
    <row r="384" ht="15.75" customHeight="1">
      <c r="A384" s="53"/>
      <c r="B384" s="53"/>
      <c r="C384" s="53"/>
      <c r="D384" s="53"/>
      <c r="E384" s="53"/>
      <c r="F384" s="53"/>
    </row>
    <row r="385" ht="15.75" customHeight="1">
      <c r="A385" s="53"/>
      <c r="B385" s="53"/>
      <c r="C385" s="53"/>
      <c r="D385" s="53"/>
      <c r="E385" s="53"/>
      <c r="F385" s="53"/>
    </row>
    <row r="386" ht="15.75" customHeight="1">
      <c r="A386" s="53"/>
      <c r="B386" s="53"/>
      <c r="C386" s="53"/>
      <c r="D386" s="53"/>
      <c r="E386" s="53"/>
      <c r="F386" s="53"/>
    </row>
    <row r="387" ht="15.75" customHeight="1">
      <c r="A387" s="53"/>
      <c r="B387" s="53"/>
      <c r="C387" s="53"/>
      <c r="D387" s="53"/>
      <c r="E387" s="53"/>
      <c r="F387" s="53"/>
    </row>
    <row r="388" ht="15.75" customHeight="1">
      <c r="A388" s="53"/>
      <c r="B388" s="53"/>
      <c r="C388" s="53"/>
      <c r="D388" s="53"/>
      <c r="E388" s="53"/>
      <c r="F388" s="53"/>
    </row>
    <row r="389" ht="15.75" customHeight="1">
      <c r="A389" s="53"/>
      <c r="B389" s="53"/>
      <c r="C389" s="53"/>
      <c r="D389" s="53"/>
      <c r="E389" s="53"/>
      <c r="F389" s="53"/>
    </row>
    <row r="390" ht="15.75" customHeight="1">
      <c r="A390" s="53"/>
      <c r="B390" s="53"/>
      <c r="C390" s="53"/>
      <c r="D390" s="53"/>
      <c r="E390" s="53"/>
      <c r="F390" s="53"/>
    </row>
    <row r="391" ht="15.75" customHeight="1">
      <c r="A391" s="53"/>
      <c r="B391" s="53"/>
      <c r="C391" s="53"/>
      <c r="D391" s="53"/>
      <c r="E391" s="53"/>
      <c r="F391" s="53"/>
    </row>
    <row r="392" ht="15.75" customHeight="1">
      <c r="A392" s="53"/>
      <c r="B392" s="53"/>
      <c r="C392" s="53"/>
      <c r="D392" s="53"/>
      <c r="E392" s="53"/>
      <c r="F392" s="53"/>
    </row>
    <row r="393" ht="15.75" customHeight="1">
      <c r="A393" s="53"/>
      <c r="B393" s="53"/>
      <c r="C393" s="53"/>
      <c r="D393" s="53"/>
      <c r="E393" s="53"/>
      <c r="F393" s="53"/>
    </row>
    <row r="394" ht="15.75" customHeight="1">
      <c r="A394" s="53"/>
      <c r="B394" s="53"/>
      <c r="C394" s="53"/>
      <c r="D394" s="53"/>
      <c r="E394" s="53"/>
      <c r="F394" s="53"/>
    </row>
    <row r="395" ht="15.75" customHeight="1">
      <c r="A395" s="53"/>
      <c r="B395" s="53"/>
      <c r="C395" s="53"/>
      <c r="D395" s="53"/>
      <c r="E395" s="53"/>
      <c r="F395" s="53"/>
    </row>
    <row r="396" ht="15.75" customHeight="1">
      <c r="A396" s="53"/>
      <c r="B396" s="53"/>
      <c r="C396" s="53"/>
      <c r="D396" s="53"/>
      <c r="E396" s="53"/>
      <c r="F396" s="53"/>
    </row>
    <row r="397" ht="15.75" customHeight="1">
      <c r="A397" s="53"/>
      <c r="B397" s="53"/>
      <c r="C397" s="53"/>
      <c r="D397" s="53"/>
      <c r="E397" s="53"/>
      <c r="F397" s="53"/>
    </row>
    <row r="398" ht="15.75" customHeight="1">
      <c r="A398" s="53"/>
      <c r="B398" s="53"/>
      <c r="C398" s="53"/>
      <c r="D398" s="53"/>
      <c r="E398" s="53"/>
      <c r="F398" s="53"/>
    </row>
    <row r="399" ht="15.75" customHeight="1">
      <c r="A399" s="53"/>
      <c r="B399" s="53"/>
      <c r="C399" s="53"/>
      <c r="D399" s="53"/>
      <c r="E399" s="53"/>
      <c r="F399" s="53"/>
    </row>
    <row r="400" ht="15.75" customHeight="1">
      <c r="A400" s="53"/>
      <c r="B400" s="53"/>
      <c r="C400" s="53"/>
      <c r="D400" s="53"/>
      <c r="E400" s="53"/>
      <c r="F400" s="53"/>
    </row>
    <row r="401" ht="15.75" customHeight="1">
      <c r="A401" s="53"/>
      <c r="B401" s="53"/>
      <c r="C401" s="53"/>
      <c r="D401" s="53"/>
      <c r="E401" s="53"/>
      <c r="F401" s="53"/>
    </row>
    <row r="402" ht="15.75" customHeight="1">
      <c r="A402" s="53"/>
      <c r="B402" s="53"/>
      <c r="C402" s="53"/>
      <c r="D402" s="53"/>
      <c r="E402" s="53"/>
      <c r="F402" s="53"/>
    </row>
    <row r="403" ht="15.75" customHeight="1">
      <c r="A403" s="53"/>
      <c r="B403" s="53"/>
      <c r="C403" s="53"/>
      <c r="D403" s="53"/>
      <c r="E403" s="53"/>
      <c r="F403" s="53"/>
    </row>
    <row r="404" ht="15.75" customHeight="1">
      <c r="A404" s="53"/>
      <c r="B404" s="53"/>
      <c r="C404" s="53"/>
      <c r="D404" s="53"/>
      <c r="E404" s="53"/>
      <c r="F404" s="53"/>
    </row>
    <row r="405" ht="15.75" customHeight="1">
      <c r="A405" s="53"/>
      <c r="B405" s="53"/>
      <c r="C405" s="53"/>
      <c r="D405" s="53"/>
      <c r="E405" s="53"/>
      <c r="F405" s="53"/>
    </row>
    <row r="406" ht="15.75" customHeight="1">
      <c r="A406" s="53"/>
      <c r="B406" s="53"/>
      <c r="C406" s="53"/>
      <c r="D406" s="53"/>
      <c r="E406" s="53"/>
      <c r="F406" s="53"/>
    </row>
    <row r="407" ht="15.75" customHeight="1">
      <c r="A407" s="53"/>
      <c r="B407" s="53"/>
      <c r="C407" s="53"/>
      <c r="D407" s="53"/>
      <c r="E407" s="53"/>
      <c r="F407" s="53"/>
    </row>
    <row r="408" ht="15.75" customHeight="1">
      <c r="A408" s="53"/>
      <c r="B408" s="53"/>
      <c r="C408" s="53"/>
      <c r="D408" s="53"/>
      <c r="E408" s="53"/>
      <c r="F408" s="53"/>
    </row>
    <row r="409" ht="15.75" customHeight="1">
      <c r="A409" s="53"/>
      <c r="B409" s="53"/>
      <c r="C409" s="53"/>
      <c r="D409" s="53"/>
      <c r="E409" s="53"/>
      <c r="F409" s="53"/>
    </row>
    <row r="410" ht="15.75" customHeight="1">
      <c r="A410" s="53"/>
      <c r="B410" s="53"/>
      <c r="C410" s="53"/>
      <c r="D410" s="53"/>
      <c r="E410" s="53"/>
      <c r="F410" s="53"/>
    </row>
    <row r="411" ht="15.75" customHeight="1">
      <c r="A411" s="53"/>
      <c r="B411" s="53"/>
      <c r="C411" s="53"/>
      <c r="D411" s="53"/>
      <c r="E411" s="53"/>
      <c r="F411" s="53"/>
    </row>
    <row r="412" ht="15.75" customHeight="1">
      <c r="A412" s="53"/>
      <c r="B412" s="53"/>
      <c r="C412" s="53"/>
      <c r="D412" s="53"/>
      <c r="E412" s="53"/>
      <c r="F412" s="53"/>
    </row>
    <row r="413" ht="15.75" customHeight="1">
      <c r="A413" s="53"/>
      <c r="B413" s="53"/>
      <c r="C413" s="53"/>
      <c r="D413" s="53"/>
      <c r="E413" s="53"/>
      <c r="F413" s="53"/>
    </row>
    <row r="414" ht="15.75" customHeight="1">
      <c r="A414" s="53"/>
      <c r="B414" s="53"/>
      <c r="C414" s="53"/>
      <c r="D414" s="53"/>
      <c r="E414" s="53"/>
      <c r="F414" s="53"/>
    </row>
    <row r="415" ht="15.75" customHeight="1">
      <c r="A415" s="53"/>
      <c r="B415" s="53"/>
      <c r="C415" s="53"/>
      <c r="D415" s="53"/>
      <c r="E415" s="53"/>
      <c r="F415" s="53"/>
    </row>
    <row r="416" ht="15.75" customHeight="1">
      <c r="A416" s="53"/>
      <c r="B416" s="53"/>
      <c r="C416" s="53"/>
      <c r="D416" s="53"/>
      <c r="E416" s="53"/>
      <c r="F416" s="53"/>
    </row>
    <row r="417" ht="15.75" customHeight="1">
      <c r="A417" s="53"/>
      <c r="B417" s="53"/>
      <c r="C417" s="53"/>
      <c r="D417" s="53"/>
      <c r="E417" s="53"/>
      <c r="F417" s="53"/>
    </row>
    <row r="418" ht="15.75" customHeight="1">
      <c r="A418" s="53"/>
      <c r="B418" s="53"/>
      <c r="C418" s="53"/>
      <c r="D418" s="53"/>
      <c r="E418" s="53"/>
      <c r="F418" s="53"/>
    </row>
    <row r="419" ht="15.75" customHeight="1">
      <c r="A419" s="53"/>
      <c r="B419" s="53"/>
      <c r="C419" s="53"/>
      <c r="D419" s="53"/>
      <c r="E419" s="53"/>
      <c r="F419" s="53"/>
    </row>
    <row r="420" ht="15.75" customHeight="1">
      <c r="A420" s="53"/>
      <c r="B420" s="53"/>
      <c r="C420" s="53"/>
      <c r="D420" s="53"/>
      <c r="E420" s="53"/>
      <c r="F420" s="53"/>
    </row>
    <row r="421" ht="15.75" customHeight="1">
      <c r="A421" s="53"/>
      <c r="B421" s="53"/>
      <c r="C421" s="53"/>
      <c r="D421" s="53"/>
      <c r="E421" s="53"/>
      <c r="F421" s="53"/>
    </row>
    <row r="422" ht="15.75" customHeight="1">
      <c r="A422" s="53"/>
      <c r="B422" s="53"/>
      <c r="C422" s="53"/>
      <c r="D422" s="53"/>
      <c r="E422" s="53"/>
      <c r="F422" s="53"/>
    </row>
    <row r="423" ht="15.75" customHeight="1">
      <c r="A423" s="53"/>
      <c r="B423" s="53"/>
      <c r="C423" s="53"/>
      <c r="D423" s="53"/>
      <c r="E423" s="53"/>
      <c r="F423" s="53"/>
    </row>
    <row r="424" ht="15.75" customHeight="1">
      <c r="A424" s="53"/>
      <c r="B424" s="53"/>
      <c r="C424" s="53"/>
      <c r="D424" s="53"/>
      <c r="E424" s="53"/>
      <c r="F424" s="53"/>
    </row>
    <row r="425" ht="15.75" customHeight="1">
      <c r="A425" s="53"/>
      <c r="B425" s="53"/>
      <c r="C425" s="53"/>
      <c r="D425" s="53"/>
      <c r="E425" s="53"/>
      <c r="F425" s="53"/>
    </row>
    <row r="426" ht="15.75" customHeight="1">
      <c r="A426" s="53"/>
      <c r="B426" s="53"/>
      <c r="C426" s="53"/>
      <c r="D426" s="53"/>
      <c r="E426" s="53"/>
      <c r="F426" s="53"/>
    </row>
    <row r="427" ht="15.75" customHeight="1">
      <c r="A427" s="53"/>
      <c r="B427" s="53"/>
      <c r="C427" s="53"/>
      <c r="D427" s="53"/>
      <c r="E427" s="53"/>
      <c r="F427" s="53"/>
    </row>
    <row r="428" ht="15.75" customHeight="1">
      <c r="A428" s="53"/>
      <c r="B428" s="53"/>
      <c r="C428" s="53"/>
      <c r="D428" s="53"/>
      <c r="E428" s="53"/>
      <c r="F428" s="53"/>
    </row>
    <row r="429" ht="15.75" customHeight="1">
      <c r="A429" s="53"/>
      <c r="B429" s="53"/>
      <c r="C429" s="53"/>
      <c r="D429" s="53"/>
      <c r="E429" s="53"/>
      <c r="F429" s="53"/>
    </row>
    <row r="430" ht="15.75" customHeight="1">
      <c r="A430" s="53"/>
      <c r="B430" s="53"/>
      <c r="C430" s="53"/>
      <c r="D430" s="53"/>
      <c r="E430" s="53"/>
      <c r="F430" s="53"/>
    </row>
    <row r="431" ht="15.75" customHeight="1">
      <c r="A431" s="53"/>
      <c r="B431" s="53"/>
      <c r="C431" s="53"/>
      <c r="D431" s="53"/>
      <c r="E431" s="53"/>
      <c r="F431" s="53"/>
    </row>
    <row r="432" ht="15.75" customHeight="1">
      <c r="A432" s="53"/>
      <c r="B432" s="53"/>
      <c r="C432" s="53"/>
      <c r="D432" s="53"/>
      <c r="E432" s="53"/>
      <c r="F432" s="53"/>
    </row>
    <row r="433" ht="15.75" customHeight="1">
      <c r="A433" s="53"/>
      <c r="B433" s="53"/>
      <c r="C433" s="53"/>
      <c r="D433" s="53"/>
      <c r="E433" s="53"/>
      <c r="F433" s="53"/>
    </row>
    <row r="434" ht="15.75" customHeight="1">
      <c r="A434" s="53"/>
      <c r="B434" s="53"/>
      <c r="C434" s="53"/>
      <c r="D434" s="53"/>
      <c r="E434" s="53"/>
      <c r="F434" s="53"/>
    </row>
    <row r="435" ht="15.75" customHeight="1">
      <c r="A435" s="53"/>
      <c r="B435" s="53"/>
      <c r="C435" s="53"/>
      <c r="D435" s="53"/>
      <c r="E435" s="53"/>
      <c r="F435" s="53"/>
    </row>
    <row r="436" ht="15.75" customHeight="1">
      <c r="A436" s="53"/>
      <c r="B436" s="53"/>
      <c r="C436" s="53"/>
      <c r="D436" s="53"/>
      <c r="E436" s="53"/>
      <c r="F436" s="53"/>
    </row>
    <row r="437" ht="15.75" customHeight="1">
      <c r="A437" s="53"/>
      <c r="B437" s="53"/>
      <c r="C437" s="53"/>
      <c r="D437" s="53"/>
      <c r="E437" s="53"/>
      <c r="F437" s="53"/>
    </row>
    <row r="438" ht="15.75" customHeight="1">
      <c r="A438" s="53"/>
      <c r="B438" s="53"/>
      <c r="C438" s="53"/>
      <c r="D438" s="53"/>
      <c r="E438" s="53"/>
      <c r="F438" s="53"/>
    </row>
    <row r="439" ht="15.75" customHeight="1">
      <c r="A439" s="53"/>
      <c r="B439" s="53"/>
      <c r="C439" s="53"/>
      <c r="D439" s="53"/>
      <c r="E439" s="53"/>
      <c r="F439" s="53"/>
    </row>
    <row r="440" ht="15.75" customHeight="1">
      <c r="A440" s="53"/>
      <c r="B440" s="53"/>
      <c r="C440" s="53"/>
      <c r="D440" s="53"/>
      <c r="E440" s="53"/>
      <c r="F440" s="53"/>
    </row>
    <row r="441" ht="15.75" customHeight="1">
      <c r="A441" s="53"/>
      <c r="B441" s="53"/>
      <c r="C441" s="53"/>
      <c r="D441" s="53"/>
      <c r="E441" s="53"/>
      <c r="F441" s="53"/>
    </row>
    <row r="442" ht="15.75" customHeight="1">
      <c r="A442" s="53"/>
      <c r="B442" s="53"/>
      <c r="C442" s="53"/>
      <c r="D442" s="53"/>
      <c r="E442" s="53"/>
      <c r="F442" s="53"/>
    </row>
    <row r="443" ht="15.75" customHeight="1">
      <c r="A443" s="53"/>
      <c r="B443" s="53"/>
      <c r="C443" s="53"/>
      <c r="D443" s="53"/>
      <c r="E443" s="53"/>
      <c r="F443" s="53"/>
    </row>
    <row r="444" ht="15.75" customHeight="1">
      <c r="A444" s="53"/>
      <c r="B444" s="53"/>
      <c r="C444" s="53"/>
      <c r="D444" s="53"/>
      <c r="E444" s="53"/>
      <c r="F444" s="53"/>
    </row>
    <row r="445" ht="15.75" customHeight="1">
      <c r="A445" s="53"/>
      <c r="B445" s="53"/>
      <c r="C445" s="53"/>
      <c r="D445" s="53"/>
      <c r="E445" s="53"/>
      <c r="F445" s="53"/>
    </row>
    <row r="446" ht="15.75" customHeight="1">
      <c r="A446" s="53"/>
      <c r="B446" s="53"/>
      <c r="C446" s="53"/>
      <c r="D446" s="53"/>
      <c r="E446" s="53"/>
      <c r="F446" s="53"/>
    </row>
    <row r="447" ht="15.75" customHeight="1">
      <c r="A447" s="53"/>
      <c r="B447" s="53"/>
      <c r="C447" s="53"/>
      <c r="D447" s="53"/>
      <c r="E447" s="53"/>
      <c r="F447" s="53"/>
    </row>
    <row r="448" ht="15.75" customHeight="1">
      <c r="A448" s="53"/>
      <c r="B448" s="53"/>
      <c r="C448" s="53"/>
      <c r="D448" s="53"/>
      <c r="E448" s="53"/>
      <c r="F448" s="53"/>
    </row>
    <row r="449" ht="15.75" customHeight="1">
      <c r="A449" s="53"/>
      <c r="B449" s="53"/>
      <c r="C449" s="53"/>
      <c r="D449" s="53"/>
      <c r="E449" s="53"/>
      <c r="F449" s="53"/>
    </row>
    <row r="450" ht="15.75" customHeight="1">
      <c r="A450" s="53"/>
      <c r="B450" s="53"/>
      <c r="C450" s="53"/>
      <c r="D450" s="53"/>
      <c r="E450" s="53"/>
      <c r="F450" s="53"/>
    </row>
    <row r="451" ht="15.75" customHeight="1">
      <c r="A451" s="53"/>
      <c r="B451" s="53"/>
      <c r="C451" s="53"/>
      <c r="D451" s="53"/>
      <c r="E451" s="53"/>
      <c r="F451" s="53"/>
    </row>
    <row r="452" ht="15.75" customHeight="1">
      <c r="A452" s="53"/>
      <c r="B452" s="53"/>
      <c r="C452" s="53"/>
      <c r="D452" s="53"/>
      <c r="E452" s="53"/>
      <c r="F452" s="53"/>
    </row>
    <row r="453" ht="15.75" customHeight="1">
      <c r="A453" s="53"/>
      <c r="B453" s="53"/>
      <c r="C453" s="53"/>
      <c r="D453" s="53"/>
      <c r="E453" s="53"/>
      <c r="F453" s="53"/>
    </row>
    <row r="454" ht="15.75" customHeight="1">
      <c r="A454" s="53"/>
      <c r="B454" s="53"/>
      <c r="C454" s="53"/>
      <c r="D454" s="53"/>
      <c r="E454" s="53"/>
      <c r="F454" s="53"/>
    </row>
    <row r="455" ht="15.75" customHeight="1">
      <c r="A455" s="53"/>
      <c r="B455" s="53"/>
      <c r="C455" s="53"/>
      <c r="D455" s="53"/>
      <c r="E455" s="53"/>
      <c r="F455" s="53"/>
    </row>
    <row r="456" ht="15.75" customHeight="1">
      <c r="A456" s="53"/>
      <c r="B456" s="53"/>
      <c r="C456" s="53"/>
      <c r="D456" s="53"/>
      <c r="E456" s="53"/>
      <c r="F456" s="53"/>
    </row>
    <row r="457" ht="15.75" customHeight="1">
      <c r="A457" s="53"/>
      <c r="B457" s="53"/>
      <c r="C457" s="53"/>
      <c r="D457" s="53"/>
      <c r="E457" s="53"/>
      <c r="F457" s="53"/>
    </row>
    <row r="458" ht="15.75" customHeight="1">
      <c r="A458" s="53"/>
      <c r="B458" s="53"/>
      <c r="C458" s="53"/>
      <c r="D458" s="53"/>
      <c r="E458" s="53"/>
      <c r="F458" s="53"/>
    </row>
    <row r="459" ht="15.75" customHeight="1">
      <c r="A459" s="53"/>
      <c r="B459" s="53"/>
      <c r="C459" s="53"/>
      <c r="D459" s="53"/>
      <c r="E459" s="53"/>
      <c r="F459" s="53"/>
    </row>
    <row r="460" ht="15.75" customHeight="1">
      <c r="A460" s="53"/>
      <c r="B460" s="53"/>
      <c r="C460" s="53"/>
      <c r="D460" s="53"/>
      <c r="E460" s="53"/>
      <c r="F460" s="53"/>
    </row>
    <row r="461" ht="15.75" customHeight="1">
      <c r="A461" s="53"/>
      <c r="B461" s="53"/>
      <c r="C461" s="53"/>
      <c r="D461" s="53"/>
      <c r="E461" s="53"/>
      <c r="F461" s="53"/>
    </row>
    <row r="462" ht="15.75" customHeight="1">
      <c r="A462" s="53"/>
      <c r="B462" s="53"/>
      <c r="C462" s="53"/>
      <c r="D462" s="53"/>
      <c r="E462" s="53"/>
      <c r="F462" s="53"/>
    </row>
    <row r="463" ht="15.75" customHeight="1">
      <c r="A463" s="53"/>
      <c r="B463" s="53"/>
      <c r="C463" s="53"/>
      <c r="D463" s="53"/>
      <c r="E463" s="53"/>
      <c r="F463" s="53"/>
    </row>
    <row r="464" ht="15.75" customHeight="1">
      <c r="A464" s="53"/>
      <c r="B464" s="53"/>
      <c r="C464" s="53"/>
      <c r="D464" s="53"/>
      <c r="E464" s="53"/>
      <c r="F464" s="53"/>
    </row>
    <row r="465" ht="15.75" customHeight="1">
      <c r="A465" s="53"/>
      <c r="B465" s="53"/>
      <c r="C465" s="53"/>
      <c r="D465" s="53"/>
      <c r="E465" s="53"/>
      <c r="F465" s="53"/>
    </row>
    <row r="466" ht="15.75" customHeight="1">
      <c r="A466" s="53"/>
      <c r="B466" s="53"/>
      <c r="C466" s="53"/>
      <c r="D466" s="53"/>
      <c r="E466" s="53"/>
      <c r="F466" s="53"/>
    </row>
    <row r="467" ht="15.75" customHeight="1">
      <c r="A467" s="53"/>
      <c r="B467" s="53"/>
      <c r="C467" s="53"/>
      <c r="D467" s="53"/>
      <c r="E467" s="53"/>
      <c r="F467" s="53"/>
    </row>
    <row r="468" ht="15.75" customHeight="1">
      <c r="A468" s="53"/>
      <c r="B468" s="53"/>
      <c r="C468" s="53"/>
      <c r="D468" s="53"/>
      <c r="E468" s="53"/>
      <c r="F468" s="53"/>
    </row>
    <row r="469" ht="15.75" customHeight="1">
      <c r="A469" s="53"/>
      <c r="B469" s="53"/>
      <c r="C469" s="53"/>
      <c r="D469" s="53"/>
      <c r="E469" s="53"/>
      <c r="F469" s="53"/>
    </row>
    <row r="470" ht="15.75" customHeight="1">
      <c r="A470" s="53"/>
      <c r="B470" s="53"/>
      <c r="C470" s="53"/>
      <c r="D470" s="53"/>
      <c r="E470" s="53"/>
      <c r="F470" s="53"/>
    </row>
    <row r="471" ht="15.75" customHeight="1">
      <c r="A471" s="53"/>
      <c r="B471" s="53"/>
      <c r="C471" s="53"/>
      <c r="D471" s="53"/>
      <c r="E471" s="53"/>
      <c r="F471" s="53"/>
    </row>
    <row r="472" ht="15.75" customHeight="1">
      <c r="A472" s="53"/>
      <c r="B472" s="53"/>
      <c r="C472" s="53"/>
      <c r="D472" s="53"/>
      <c r="E472" s="53"/>
      <c r="F472" s="53"/>
    </row>
    <row r="473" ht="15.75" customHeight="1">
      <c r="A473" s="53"/>
      <c r="B473" s="53"/>
      <c r="C473" s="53"/>
      <c r="D473" s="53"/>
      <c r="E473" s="53"/>
      <c r="F473" s="53"/>
    </row>
    <row r="474" ht="15.75" customHeight="1">
      <c r="A474" s="53"/>
      <c r="B474" s="53"/>
      <c r="C474" s="53"/>
      <c r="D474" s="53"/>
      <c r="E474" s="53"/>
      <c r="F474" s="53"/>
    </row>
    <row r="475" ht="15.75" customHeight="1">
      <c r="A475" s="53"/>
      <c r="B475" s="53"/>
      <c r="C475" s="53"/>
      <c r="D475" s="53"/>
      <c r="E475" s="53"/>
      <c r="F475" s="53"/>
    </row>
    <row r="476" ht="15.75" customHeight="1">
      <c r="A476" s="53"/>
      <c r="B476" s="53"/>
      <c r="C476" s="53"/>
      <c r="D476" s="53"/>
      <c r="E476" s="53"/>
      <c r="F476" s="53"/>
    </row>
    <row r="477" ht="15.75" customHeight="1">
      <c r="A477" s="53"/>
      <c r="B477" s="53"/>
      <c r="C477" s="53"/>
      <c r="D477" s="53"/>
      <c r="E477" s="53"/>
      <c r="F477" s="53"/>
    </row>
    <row r="478" ht="15.75" customHeight="1">
      <c r="A478" s="53"/>
      <c r="B478" s="53"/>
      <c r="C478" s="53"/>
      <c r="D478" s="53"/>
      <c r="E478" s="53"/>
      <c r="F478" s="53"/>
    </row>
    <row r="479" ht="15.75" customHeight="1">
      <c r="A479" s="53"/>
      <c r="B479" s="53"/>
      <c r="C479" s="53"/>
      <c r="D479" s="53"/>
      <c r="E479" s="53"/>
      <c r="F479" s="53"/>
    </row>
    <row r="480" ht="15.75" customHeight="1">
      <c r="A480" s="53"/>
      <c r="B480" s="53"/>
      <c r="C480" s="53"/>
      <c r="D480" s="53"/>
      <c r="E480" s="53"/>
      <c r="F480" s="53"/>
    </row>
    <row r="481" ht="15.75" customHeight="1">
      <c r="A481" s="53"/>
      <c r="B481" s="53"/>
      <c r="C481" s="53"/>
      <c r="D481" s="53"/>
      <c r="E481" s="53"/>
      <c r="F481" s="53"/>
    </row>
    <row r="482" ht="15.75" customHeight="1">
      <c r="A482" s="53"/>
      <c r="B482" s="53"/>
      <c r="C482" s="53"/>
      <c r="D482" s="53"/>
      <c r="E482" s="53"/>
      <c r="F482" s="53"/>
    </row>
    <row r="483" ht="15.75" customHeight="1">
      <c r="A483" s="53"/>
      <c r="B483" s="53"/>
      <c r="C483" s="53"/>
      <c r="D483" s="53"/>
      <c r="E483" s="53"/>
      <c r="F483" s="53"/>
    </row>
    <row r="484" ht="15.75" customHeight="1">
      <c r="A484" s="53"/>
      <c r="B484" s="53"/>
      <c r="C484" s="53"/>
      <c r="D484" s="53"/>
      <c r="E484" s="53"/>
      <c r="F484" s="53"/>
    </row>
    <row r="485" ht="15.75" customHeight="1">
      <c r="A485" s="53"/>
      <c r="B485" s="53"/>
      <c r="C485" s="53"/>
      <c r="D485" s="53"/>
      <c r="E485" s="53"/>
      <c r="F485" s="53"/>
    </row>
    <row r="486" ht="15.75" customHeight="1">
      <c r="A486" s="53"/>
      <c r="B486" s="53"/>
      <c r="C486" s="53"/>
      <c r="D486" s="53"/>
      <c r="E486" s="53"/>
      <c r="F486" s="53"/>
    </row>
    <row r="487" ht="15.75" customHeight="1">
      <c r="A487" s="53"/>
      <c r="B487" s="53"/>
      <c r="C487" s="53"/>
      <c r="D487" s="53"/>
      <c r="E487" s="53"/>
      <c r="F487" s="53"/>
    </row>
    <row r="488" ht="15.75" customHeight="1">
      <c r="A488" s="53"/>
      <c r="B488" s="53"/>
      <c r="C488" s="53"/>
      <c r="D488" s="53"/>
      <c r="E488" s="53"/>
      <c r="F488" s="53"/>
    </row>
    <row r="489" ht="15.75" customHeight="1">
      <c r="A489" s="53"/>
      <c r="B489" s="53"/>
      <c r="C489" s="53"/>
      <c r="D489" s="53"/>
      <c r="E489" s="53"/>
      <c r="F489" s="53"/>
    </row>
    <row r="490" ht="15.75" customHeight="1">
      <c r="A490" s="53"/>
      <c r="B490" s="53"/>
      <c r="C490" s="53"/>
      <c r="D490" s="53"/>
      <c r="E490" s="53"/>
      <c r="F490" s="53"/>
    </row>
    <row r="491" ht="15.75" customHeight="1">
      <c r="A491" s="53"/>
      <c r="B491" s="53"/>
      <c r="C491" s="53"/>
      <c r="D491" s="53"/>
      <c r="E491" s="53"/>
      <c r="F491" s="53"/>
    </row>
    <row r="492" ht="15.75" customHeight="1">
      <c r="A492" s="53"/>
      <c r="B492" s="53"/>
      <c r="C492" s="53"/>
      <c r="D492" s="53"/>
      <c r="E492" s="53"/>
      <c r="F492" s="53"/>
    </row>
    <row r="493" ht="15.75" customHeight="1">
      <c r="A493" s="53"/>
      <c r="B493" s="53"/>
      <c r="C493" s="53"/>
      <c r="D493" s="53"/>
      <c r="E493" s="53"/>
      <c r="F493" s="53"/>
    </row>
    <row r="494" ht="15.75" customHeight="1">
      <c r="A494" s="53"/>
      <c r="B494" s="53"/>
      <c r="C494" s="53"/>
      <c r="D494" s="53"/>
      <c r="E494" s="53"/>
      <c r="F494" s="53"/>
    </row>
    <row r="495" ht="15.75" customHeight="1">
      <c r="A495" s="53"/>
      <c r="B495" s="53"/>
      <c r="C495" s="53"/>
      <c r="D495" s="53"/>
      <c r="E495" s="53"/>
      <c r="F495" s="53"/>
    </row>
    <row r="496" ht="15.75" customHeight="1">
      <c r="A496" s="53"/>
      <c r="B496" s="53"/>
      <c r="C496" s="53"/>
      <c r="D496" s="53"/>
      <c r="E496" s="53"/>
      <c r="F496" s="53"/>
    </row>
    <row r="497" ht="15.75" customHeight="1">
      <c r="A497" s="53"/>
      <c r="B497" s="53"/>
      <c r="C497" s="53"/>
      <c r="D497" s="53"/>
      <c r="E497" s="53"/>
      <c r="F497" s="53"/>
    </row>
    <row r="498" ht="15.75" customHeight="1">
      <c r="A498" s="53"/>
      <c r="B498" s="53"/>
      <c r="C498" s="53"/>
      <c r="D498" s="53"/>
      <c r="E498" s="53"/>
      <c r="F498" s="53"/>
    </row>
    <row r="499" ht="15.75" customHeight="1">
      <c r="A499" s="53"/>
      <c r="B499" s="53"/>
      <c r="C499" s="53"/>
      <c r="D499" s="53"/>
      <c r="E499" s="53"/>
      <c r="F499" s="53"/>
    </row>
    <row r="500" ht="15.75" customHeight="1">
      <c r="A500" s="53"/>
      <c r="B500" s="53"/>
      <c r="C500" s="53"/>
      <c r="D500" s="53"/>
      <c r="E500" s="53"/>
      <c r="F500" s="53"/>
    </row>
    <row r="501" ht="15.75" customHeight="1">
      <c r="A501" s="53"/>
      <c r="B501" s="53"/>
      <c r="C501" s="53"/>
      <c r="D501" s="53"/>
      <c r="E501" s="53"/>
      <c r="F501" s="53"/>
    </row>
    <row r="502" ht="15.75" customHeight="1">
      <c r="A502" s="53"/>
      <c r="B502" s="53"/>
      <c r="C502" s="53"/>
      <c r="D502" s="53"/>
      <c r="E502" s="53"/>
      <c r="F502" s="53"/>
    </row>
    <row r="503" ht="15.75" customHeight="1">
      <c r="A503" s="53"/>
      <c r="B503" s="53"/>
      <c r="C503" s="53"/>
      <c r="D503" s="53"/>
      <c r="E503" s="53"/>
      <c r="F503" s="53"/>
    </row>
    <row r="504" ht="15.75" customHeight="1">
      <c r="A504" s="53"/>
      <c r="B504" s="53"/>
      <c r="C504" s="53"/>
      <c r="D504" s="53"/>
      <c r="E504" s="53"/>
      <c r="F504" s="53"/>
    </row>
    <row r="505" ht="15.75" customHeight="1">
      <c r="A505" s="53"/>
      <c r="B505" s="53"/>
      <c r="C505" s="53"/>
      <c r="D505" s="53"/>
      <c r="E505" s="53"/>
      <c r="F505" s="53"/>
    </row>
    <row r="506" ht="15.75" customHeight="1">
      <c r="A506" s="53"/>
      <c r="B506" s="53"/>
      <c r="C506" s="53"/>
      <c r="D506" s="53"/>
      <c r="E506" s="53"/>
      <c r="F506" s="53"/>
    </row>
    <row r="507" ht="15.75" customHeight="1">
      <c r="A507" s="53"/>
      <c r="B507" s="53"/>
      <c r="C507" s="53"/>
      <c r="D507" s="53"/>
      <c r="E507" s="53"/>
      <c r="F507" s="53"/>
    </row>
    <row r="508" ht="15.75" customHeight="1">
      <c r="A508" s="53"/>
      <c r="B508" s="53"/>
      <c r="C508" s="53"/>
      <c r="D508" s="53"/>
      <c r="E508" s="53"/>
      <c r="F508" s="53"/>
    </row>
    <row r="509" ht="15.75" customHeight="1">
      <c r="A509" s="53"/>
      <c r="B509" s="53"/>
      <c r="C509" s="53"/>
      <c r="D509" s="53"/>
      <c r="E509" s="53"/>
      <c r="F509" s="53"/>
    </row>
    <row r="510" ht="15.75" customHeight="1">
      <c r="A510" s="53"/>
      <c r="B510" s="53"/>
      <c r="C510" s="53"/>
      <c r="D510" s="53"/>
      <c r="E510" s="53"/>
      <c r="F510" s="53"/>
    </row>
    <row r="511" ht="15.75" customHeight="1">
      <c r="A511" s="53"/>
      <c r="B511" s="53"/>
      <c r="C511" s="53"/>
      <c r="D511" s="53"/>
      <c r="E511" s="53"/>
      <c r="F511" s="53"/>
    </row>
    <row r="512" ht="15.75" customHeight="1">
      <c r="A512" s="53"/>
      <c r="B512" s="53"/>
      <c r="C512" s="53"/>
      <c r="D512" s="53"/>
      <c r="E512" s="53"/>
      <c r="F512" s="53"/>
    </row>
    <row r="513" ht="15.75" customHeight="1">
      <c r="A513" s="53"/>
      <c r="B513" s="53"/>
      <c r="C513" s="53"/>
      <c r="D513" s="53"/>
      <c r="E513" s="53"/>
      <c r="F513" s="53"/>
    </row>
    <row r="514" ht="15.75" customHeight="1">
      <c r="A514" s="53"/>
      <c r="B514" s="53"/>
      <c r="C514" s="53"/>
      <c r="D514" s="53"/>
      <c r="E514" s="53"/>
      <c r="F514" s="53"/>
    </row>
    <row r="515" ht="15.75" customHeight="1">
      <c r="A515" s="53"/>
      <c r="B515" s="53"/>
      <c r="C515" s="53"/>
      <c r="D515" s="53"/>
      <c r="E515" s="53"/>
      <c r="F515" s="53"/>
    </row>
    <row r="516" ht="15.75" customHeight="1">
      <c r="A516" s="53"/>
      <c r="B516" s="53"/>
      <c r="C516" s="53"/>
      <c r="D516" s="53"/>
      <c r="E516" s="53"/>
      <c r="F516" s="53"/>
    </row>
    <row r="517" ht="15.75" customHeight="1">
      <c r="A517" s="53"/>
      <c r="B517" s="53"/>
      <c r="C517" s="53"/>
      <c r="D517" s="53"/>
      <c r="E517" s="53"/>
      <c r="F517" s="53"/>
    </row>
    <row r="518" ht="15.75" customHeight="1">
      <c r="A518" s="53"/>
      <c r="B518" s="53"/>
      <c r="C518" s="53"/>
      <c r="D518" s="53"/>
      <c r="E518" s="53"/>
      <c r="F518" s="53"/>
    </row>
    <row r="519" ht="15.75" customHeight="1">
      <c r="A519" s="53"/>
      <c r="B519" s="53"/>
      <c r="C519" s="53"/>
      <c r="D519" s="53"/>
      <c r="E519" s="53"/>
      <c r="F519" s="53"/>
    </row>
    <row r="520" ht="15.75" customHeight="1">
      <c r="A520" s="53"/>
      <c r="B520" s="53"/>
      <c r="C520" s="53"/>
      <c r="D520" s="53"/>
      <c r="E520" s="53"/>
      <c r="F520" s="53"/>
    </row>
    <row r="521" ht="15.75" customHeight="1">
      <c r="A521" s="53"/>
      <c r="B521" s="53"/>
      <c r="C521" s="53"/>
      <c r="D521" s="53"/>
      <c r="E521" s="53"/>
      <c r="F521" s="53"/>
    </row>
    <row r="522" ht="15.75" customHeight="1">
      <c r="A522" s="53"/>
      <c r="B522" s="53"/>
      <c r="C522" s="53"/>
      <c r="D522" s="53"/>
      <c r="E522" s="53"/>
      <c r="F522" s="53"/>
    </row>
    <row r="523" ht="15.75" customHeight="1">
      <c r="A523" s="53"/>
      <c r="B523" s="53"/>
      <c r="C523" s="53"/>
      <c r="D523" s="53"/>
      <c r="E523" s="53"/>
      <c r="F523" s="53"/>
    </row>
    <row r="524" ht="15.75" customHeight="1">
      <c r="A524" s="53"/>
      <c r="B524" s="53"/>
      <c r="C524" s="53"/>
      <c r="D524" s="53"/>
      <c r="E524" s="53"/>
      <c r="F524" s="53"/>
    </row>
    <row r="525" ht="15.75" customHeight="1">
      <c r="A525" s="53"/>
      <c r="B525" s="53"/>
      <c r="C525" s="53"/>
      <c r="D525" s="53"/>
      <c r="E525" s="53"/>
      <c r="F525" s="53"/>
    </row>
    <row r="526" ht="15.75" customHeight="1">
      <c r="A526" s="53"/>
      <c r="B526" s="53"/>
      <c r="C526" s="53"/>
      <c r="D526" s="53"/>
      <c r="E526" s="53"/>
      <c r="F526" s="53"/>
    </row>
    <row r="527" ht="15.75" customHeight="1">
      <c r="A527" s="53"/>
      <c r="B527" s="53"/>
      <c r="C527" s="53"/>
      <c r="D527" s="53"/>
      <c r="E527" s="53"/>
      <c r="F527" s="53"/>
    </row>
    <row r="528" ht="15.75" customHeight="1">
      <c r="A528" s="53"/>
      <c r="B528" s="53"/>
      <c r="C528" s="53"/>
      <c r="D528" s="53"/>
      <c r="E528" s="53"/>
      <c r="F528" s="53"/>
    </row>
    <row r="529" ht="15.75" customHeight="1">
      <c r="A529" s="53"/>
      <c r="B529" s="53"/>
      <c r="C529" s="53"/>
      <c r="D529" s="53"/>
      <c r="E529" s="53"/>
      <c r="F529" s="53"/>
    </row>
    <row r="530" ht="15.75" customHeight="1">
      <c r="A530" s="53"/>
      <c r="B530" s="53"/>
      <c r="C530" s="53"/>
      <c r="D530" s="53"/>
      <c r="E530" s="53"/>
      <c r="F530" s="53"/>
    </row>
    <row r="531" ht="15.75" customHeight="1">
      <c r="A531" s="53"/>
      <c r="B531" s="53"/>
      <c r="C531" s="53"/>
      <c r="D531" s="53"/>
      <c r="E531" s="53"/>
      <c r="F531" s="53"/>
    </row>
    <row r="532" ht="15.75" customHeight="1">
      <c r="A532" s="53"/>
      <c r="B532" s="53"/>
      <c r="C532" s="53"/>
      <c r="D532" s="53"/>
      <c r="E532" s="53"/>
      <c r="F532" s="53"/>
    </row>
    <row r="533" ht="15.75" customHeight="1">
      <c r="A533" s="53"/>
      <c r="B533" s="53"/>
      <c r="C533" s="53"/>
      <c r="D533" s="53"/>
      <c r="E533" s="53"/>
      <c r="F533" s="53"/>
    </row>
    <row r="534" ht="15.75" customHeight="1">
      <c r="A534" s="53"/>
      <c r="B534" s="53"/>
      <c r="C534" s="53"/>
      <c r="D534" s="53"/>
      <c r="E534" s="53"/>
      <c r="F534" s="53"/>
    </row>
    <row r="535" ht="15.75" customHeight="1">
      <c r="A535" s="53"/>
      <c r="B535" s="53"/>
      <c r="C535" s="53"/>
      <c r="D535" s="53"/>
      <c r="E535" s="53"/>
      <c r="F535" s="53"/>
    </row>
    <row r="536" ht="15.75" customHeight="1">
      <c r="A536" s="53"/>
      <c r="B536" s="53"/>
      <c r="C536" s="53"/>
      <c r="D536" s="53"/>
      <c r="E536" s="53"/>
      <c r="F536" s="53"/>
    </row>
    <row r="537" ht="15.75" customHeight="1">
      <c r="A537" s="53"/>
      <c r="B537" s="53"/>
      <c r="C537" s="53"/>
      <c r="D537" s="53"/>
      <c r="E537" s="53"/>
      <c r="F537" s="53"/>
    </row>
    <row r="538" ht="15.75" customHeight="1">
      <c r="A538" s="53"/>
      <c r="B538" s="53"/>
      <c r="C538" s="53"/>
      <c r="D538" s="53"/>
      <c r="E538" s="53"/>
      <c r="F538" s="53"/>
    </row>
    <row r="539" ht="15.75" customHeight="1">
      <c r="A539" s="53"/>
      <c r="B539" s="53"/>
      <c r="C539" s="53"/>
      <c r="D539" s="53"/>
      <c r="E539" s="53"/>
      <c r="F539" s="53"/>
    </row>
    <row r="540" ht="15.75" customHeight="1">
      <c r="A540" s="53"/>
      <c r="B540" s="53"/>
      <c r="C540" s="53"/>
      <c r="D540" s="53"/>
      <c r="E540" s="53"/>
      <c r="F540" s="53"/>
    </row>
    <row r="541" ht="15.75" customHeight="1">
      <c r="A541" s="53"/>
      <c r="B541" s="53"/>
      <c r="C541" s="53"/>
      <c r="D541" s="53"/>
      <c r="E541" s="53"/>
      <c r="F541" s="53"/>
    </row>
    <row r="542" ht="15.75" customHeight="1">
      <c r="A542" s="53"/>
      <c r="B542" s="53"/>
      <c r="C542" s="53"/>
      <c r="D542" s="53"/>
      <c r="E542" s="53"/>
      <c r="F542" s="53"/>
    </row>
    <row r="543" ht="15.75" customHeight="1">
      <c r="A543" s="53"/>
      <c r="B543" s="53"/>
      <c r="C543" s="53"/>
      <c r="D543" s="53"/>
      <c r="E543" s="53"/>
      <c r="F543" s="53"/>
    </row>
    <row r="544" ht="15.75" customHeight="1">
      <c r="A544" s="53"/>
      <c r="B544" s="53"/>
      <c r="C544" s="53"/>
      <c r="D544" s="53"/>
      <c r="E544" s="53"/>
      <c r="F544" s="53"/>
    </row>
    <row r="545" ht="15.75" customHeight="1">
      <c r="A545" s="53"/>
      <c r="B545" s="53"/>
      <c r="C545" s="53"/>
      <c r="D545" s="53"/>
      <c r="E545" s="53"/>
      <c r="F545" s="53"/>
    </row>
    <row r="546" ht="15.75" customHeight="1">
      <c r="A546" s="53"/>
      <c r="B546" s="53"/>
      <c r="C546" s="53"/>
      <c r="D546" s="53"/>
      <c r="E546" s="53"/>
      <c r="F546" s="53"/>
    </row>
    <row r="547" ht="15.75" customHeight="1">
      <c r="A547" s="53"/>
      <c r="B547" s="53"/>
      <c r="C547" s="53"/>
      <c r="D547" s="53"/>
      <c r="E547" s="53"/>
      <c r="F547" s="53"/>
    </row>
    <row r="548" ht="15.75" customHeight="1">
      <c r="A548" s="53"/>
      <c r="B548" s="53"/>
      <c r="C548" s="53"/>
      <c r="D548" s="53"/>
      <c r="E548" s="53"/>
      <c r="F548" s="53"/>
    </row>
    <row r="549" ht="15.75" customHeight="1">
      <c r="A549" s="53"/>
      <c r="B549" s="53"/>
      <c r="C549" s="53"/>
      <c r="D549" s="53"/>
      <c r="E549" s="53"/>
      <c r="F549" s="53"/>
    </row>
    <row r="550" ht="15.75" customHeight="1">
      <c r="A550" s="53"/>
      <c r="B550" s="53"/>
      <c r="C550" s="53"/>
      <c r="D550" s="53"/>
      <c r="E550" s="53"/>
      <c r="F550" s="53"/>
    </row>
    <row r="551" ht="15.75" customHeight="1">
      <c r="A551" s="53"/>
      <c r="B551" s="53"/>
      <c r="C551" s="53"/>
      <c r="D551" s="53"/>
      <c r="E551" s="53"/>
      <c r="F551" s="53"/>
    </row>
    <row r="552" ht="15.75" customHeight="1">
      <c r="A552" s="53"/>
      <c r="B552" s="53"/>
      <c r="C552" s="53"/>
      <c r="D552" s="53"/>
      <c r="E552" s="53"/>
      <c r="F552" s="53"/>
    </row>
    <row r="553" ht="15.75" customHeight="1">
      <c r="A553" s="53"/>
      <c r="B553" s="53"/>
      <c r="C553" s="53"/>
      <c r="D553" s="53"/>
      <c r="E553" s="53"/>
      <c r="F553" s="53"/>
    </row>
    <row r="554" ht="15.75" customHeight="1">
      <c r="A554" s="53"/>
      <c r="B554" s="53"/>
      <c r="C554" s="53"/>
      <c r="D554" s="53"/>
      <c r="E554" s="53"/>
      <c r="F554" s="53"/>
    </row>
    <row r="555" ht="15.75" customHeight="1">
      <c r="A555" s="53"/>
      <c r="B555" s="53"/>
      <c r="C555" s="53"/>
      <c r="D555" s="53"/>
      <c r="E555" s="53"/>
      <c r="F555" s="53"/>
    </row>
    <row r="556" ht="15.75" customHeight="1">
      <c r="A556" s="53"/>
      <c r="B556" s="53"/>
      <c r="C556" s="53"/>
      <c r="D556" s="53"/>
      <c r="E556" s="53"/>
      <c r="F556" s="53"/>
    </row>
    <row r="557" ht="15.75" customHeight="1">
      <c r="A557" s="53"/>
      <c r="B557" s="53"/>
      <c r="C557" s="53"/>
      <c r="D557" s="53"/>
      <c r="E557" s="53"/>
      <c r="F557" s="53"/>
    </row>
    <row r="558" ht="15.75" customHeight="1">
      <c r="A558" s="53"/>
      <c r="B558" s="53"/>
      <c r="C558" s="53"/>
      <c r="D558" s="53"/>
      <c r="E558" s="53"/>
      <c r="F558" s="53"/>
    </row>
    <row r="559" ht="15.75" customHeight="1">
      <c r="A559" s="53"/>
      <c r="B559" s="53"/>
      <c r="C559" s="53"/>
      <c r="D559" s="53"/>
      <c r="E559" s="53"/>
      <c r="F559" s="53"/>
    </row>
    <row r="560" ht="15.75" customHeight="1">
      <c r="A560" s="53"/>
      <c r="B560" s="53"/>
      <c r="C560" s="53"/>
      <c r="D560" s="53"/>
      <c r="E560" s="53"/>
      <c r="F560" s="53"/>
    </row>
    <row r="561" ht="15.75" customHeight="1">
      <c r="A561" s="53"/>
      <c r="B561" s="53"/>
      <c r="C561" s="53"/>
      <c r="D561" s="53"/>
      <c r="E561" s="53"/>
      <c r="F561" s="53"/>
    </row>
    <row r="562" ht="15.75" customHeight="1">
      <c r="A562" s="53"/>
      <c r="B562" s="53"/>
      <c r="C562" s="53"/>
      <c r="D562" s="53"/>
      <c r="E562" s="53"/>
      <c r="F562" s="53"/>
    </row>
    <row r="563" ht="15.75" customHeight="1">
      <c r="A563" s="53"/>
      <c r="B563" s="53"/>
      <c r="C563" s="53"/>
      <c r="D563" s="53"/>
      <c r="E563" s="53"/>
      <c r="F563" s="53"/>
    </row>
    <row r="564" ht="15.75" customHeight="1">
      <c r="A564" s="53"/>
      <c r="B564" s="53"/>
      <c r="C564" s="53"/>
      <c r="D564" s="53"/>
      <c r="E564" s="53"/>
      <c r="F564" s="53"/>
    </row>
    <row r="565" ht="15.75" customHeight="1">
      <c r="A565" s="53"/>
      <c r="B565" s="53"/>
      <c r="C565" s="53"/>
      <c r="D565" s="53"/>
      <c r="E565" s="53"/>
      <c r="F565" s="53"/>
    </row>
    <row r="566" ht="15.75" customHeight="1">
      <c r="A566" s="53"/>
      <c r="B566" s="53"/>
      <c r="C566" s="53"/>
      <c r="D566" s="53"/>
      <c r="E566" s="53"/>
      <c r="F566" s="53"/>
    </row>
    <row r="567" ht="15.75" customHeight="1">
      <c r="A567" s="53"/>
      <c r="B567" s="53"/>
      <c r="C567" s="53"/>
      <c r="D567" s="53"/>
      <c r="E567" s="53"/>
      <c r="F567" s="53"/>
    </row>
    <row r="568" ht="15.75" customHeight="1">
      <c r="A568" s="53"/>
      <c r="B568" s="53"/>
      <c r="C568" s="53"/>
      <c r="D568" s="53"/>
      <c r="E568" s="53"/>
      <c r="F568" s="53"/>
    </row>
    <row r="569" ht="15.75" customHeight="1">
      <c r="A569" s="53"/>
      <c r="B569" s="53"/>
      <c r="C569" s="53"/>
      <c r="D569" s="53"/>
      <c r="E569" s="53"/>
      <c r="F569" s="53"/>
    </row>
    <row r="570" ht="15.75" customHeight="1">
      <c r="A570" s="53"/>
      <c r="B570" s="53"/>
      <c r="C570" s="53"/>
      <c r="D570" s="53"/>
      <c r="E570" s="53"/>
      <c r="F570" s="53"/>
    </row>
    <row r="571" ht="15.75" customHeight="1">
      <c r="A571" s="53"/>
      <c r="B571" s="53"/>
      <c r="C571" s="53"/>
      <c r="D571" s="53"/>
      <c r="E571" s="53"/>
      <c r="F571" s="53"/>
    </row>
    <row r="572" ht="15.75" customHeight="1">
      <c r="A572" s="53"/>
      <c r="B572" s="53"/>
      <c r="C572" s="53"/>
      <c r="D572" s="53"/>
      <c r="E572" s="53"/>
      <c r="F572" s="53"/>
    </row>
    <row r="573" ht="15.75" customHeight="1">
      <c r="A573" s="53"/>
      <c r="B573" s="53"/>
      <c r="C573" s="53"/>
      <c r="D573" s="53"/>
      <c r="E573" s="53"/>
      <c r="F573" s="53"/>
    </row>
    <row r="574" ht="15.75" customHeight="1">
      <c r="A574" s="53"/>
      <c r="B574" s="53"/>
      <c r="C574" s="53"/>
      <c r="D574" s="53"/>
      <c r="E574" s="53"/>
      <c r="F574" s="53"/>
    </row>
    <row r="575" ht="15.75" customHeight="1">
      <c r="A575" s="53"/>
      <c r="B575" s="53"/>
      <c r="C575" s="53"/>
      <c r="D575" s="53"/>
      <c r="E575" s="53"/>
      <c r="F575" s="53"/>
    </row>
    <row r="576" ht="15.75" customHeight="1">
      <c r="A576" s="53"/>
      <c r="B576" s="53"/>
      <c r="C576" s="53"/>
      <c r="D576" s="53"/>
      <c r="E576" s="53"/>
      <c r="F576" s="53"/>
    </row>
    <row r="577" ht="15.75" customHeight="1">
      <c r="A577" s="53"/>
      <c r="B577" s="53"/>
      <c r="C577" s="53"/>
      <c r="D577" s="53"/>
      <c r="E577" s="53"/>
      <c r="F577" s="53"/>
    </row>
    <row r="578" ht="15.75" customHeight="1">
      <c r="A578" s="53"/>
      <c r="B578" s="53"/>
      <c r="C578" s="53"/>
      <c r="D578" s="53"/>
      <c r="E578" s="53"/>
      <c r="F578" s="53"/>
    </row>
    <row r="579" ht="15.75" customHeight="1">
      <c r="A579" s="53"/>
      <c r="B579" s="53"/>
      <c r="C579" s="53"/>
      <c r="D579" s="53"/>
      <c r="E579" s="53"/>
      <c r="F579" s="53"/>
    </row>
    <row r="580" ht="15.75" customHeight="1">
      <c r="A580" s="53"/>
      <c r="B580" s="53"/>
      <c r="C580" s="53"/>
      <c r="D580" s="53"/>
      <c r="E580" s="53"/>
      <c r="F580" s="53"/>
    </row>
    <row r="581" ht="15.75" customHeight="1">
      <c r="A581" s="53"/>
      <c r="B581" s="53"/>
      <c r="C581" s="53"/>
      <c r="D581" s="53"/>
      <c r="E581" s="53"/>
      <c r="F581" s="53"/>
    </row>
    <row r="582" ht="15.75" customHeight="1">
      <c r="A582" s="53"/>
      <c r="B582" s="53"/>
      <c r="C582" s="53"/>
      <c r="D582" s="53"/>
      <c r="E582" s="53"/>
      <c r="F582" s="53"/>
    </row>
    <row r="583" ht="15.75" customHeight="1">
      <c r="A583" s="53"/>
      <c r="B583" s="53"/>
      <c r="C583" s="53"/>
      <c r="D583" s="53"/>
      <c r="E583" s="53"/>
      <c r="F583" s="53"/>
    </row>
    <row r="584" ht="15.75" customHeight="1">
      <c r="A584" s="53"/>
      <c r="B584" s="53"/>
      <c r="C584" s="53"/>
      <c r="D584" s="53"/>
      <c r="E584" s="53"/>
      <c r="F584" s="53"/>
    </row>
    <row r="585" ht="15.75" customHeight="1">
      <c r="A585" s="53"/>
      <c r="B585" s="53"/>
      <c r="C585" s="53"/>
      <c r="D585" s="53"/>
      <c r="E585" s="53"/>
      <c r="F585" s="53"/>
    </row>
    <row r="586" ht="15.75" customHeight="1">
      <c r="A586" s="53"/>
      <c r="B586" s="53"/>
      <c r="C586" s="53"/>
      <c r="D586" s="53"/>
      <c r="E586" s="53"/>
      <c r="F586" s="53"/>
    </row>
    <row r="587" ht="15.75" customHeight="1">
      <c r="A587" s="53"/>
      <c r="B587" s="53"/>
      <c r="C587" s="53"/>
      <c r="D587" s="53"/>
      <c r="E587" s="53"/>
      <c r="F587" s="53"/>
    </row>
    <row r="588" ht="15.75" customHeight="1">
      <c r="A588" s="53"/>
      <c r="B588" s="53"/>
      <c r="C588" s="53"/>
      <c r="D588" s="53"/>
      <c r="E588" s="53"/>
      <c r="F588" s="53"/>
    </row>
    <row r="589" ht="15.75" customHeight="1">
      <c r="A589" s="53"/>
      <c r="B589" s="53"/>
      <c r="C589" s="53"/>
      <c r="D589" s="53"/>
      <c r="E589" s="53"/>
      <c r="F589" s="53"/>
    </row>
    <row r="590" ht="15.75" customHeight="1">
      <c r="A590" s="53"/>
      <c r="B590" s="53"/>
      <c r="C590" s="53"/>
      <c r="D590" s="53"/>
      <c r="E590" s="53"/>
      <c r="F590" s="53"/>
    </row>
    <row r="591" ht="15.75" customHeight="1">
      <c r="A591" s="53"/>
      <c r="B591" s="53"/>
      <c r="C591" s="53"/>
      <c r="D591" s="53"/>
      <c r="E591" s="53"/>
      <c r="F591" s="53"/>
    </row>
    <row r="592" ht="15.75" customHeight="1">
      <c r="A592" s="53"/>
      <c r="B592" s="53"/>
      <c r="C592" s="53"/>
      <c r="D592" s="53"/>
      <c r="E592" s="53"/>
      <c r="F592" s="53"/>
    </row>
    <row r="593" ht="15.75" customHeight="1">
      <c r="A593" s="53"/>
      <c r="B593" s="53"/>
      <c r="C593" s="53"/>
      <c r="D593" s="53"/>
      <c r="E593" s="53"/>
      <c r="F593" s="53"/>
    </row>
    <row r="594" ht="15.75" customHeight="1">
      <c r="A594" s="53"/>
      <c r="B594" s="53"/>
      <c r="C594" s="53"/>
      <c r="D594" s="53"/>
      <c r="E594" s="53"/>
      <c r="F594" s="53"/>
    </row>
    <row r="595" ht="15.75" customHeight="1">
      <c r="A595" s="53"/>
      <c r="B595" s="53"/>
      <c r="C595" s="53"/>
      <c r="D595" s="53"/>
      <c r="E595" s="53"/>
      <c r="F595" s="53"/>
    </row>
    <row r="596" ht="15.75" customHeight="1">
      <c r="A596" s="53"/>
      <c r="B596" s="53"/>
      <c r="C596" s="53"/>
      <c r="D596" s="53"/>
      <c r="E596" s="53"/>
      <c r="F596" s="53"/>
    </row>
    <row r="597" ht="15.75" customHeight="1">
      <c r="A597" s="53"/>
      <c r="B597" s="53"/>
      <c r="C597" s="53"/>
      <c r="D597" s="53"/>
      <c r="E597" s="53"/>
      <c r="F597" s="53"/>
    </row>
    <row r="598" ht="15.75" customHeight="1">
      <c r="A598" s="53"/>
      <c r="B598" s="53"/>
      <c r="C598" s="53"/>
      <c r="D598" s="53"/>
      <c r="E598" s="53"/>
      <c r="F598" s="53"/>
    </row>
    <row r="599" ht="15.75" customHeight="1">
      <c r="A599" s="53"/>
      <c r="B599" s="53"/>
      <c r="C599" s="53"/>
      <c r="D599" s="53"/>
      <c r="E599" s="53"/>
      <c r="F599" s="53"/>
    </row>
    <row r="600" ht="15.75" customHeight="1">
      <c r="A600" s="53"/>
      <c r="B600" s="53"/>
      <c r="C600" s="53"/>
      <c r="D600" s="53"/>
      <c r="E600" s="53"/>
      <c r="F600" s="53"/>
    </row>
    <row r="601" ht="15.75" customHeight="1">
      <c r="A601" s="53"/>
      <c r="B601" s="53"/>
      <c r="C601" s="53"/>
      <c r="D601" s="53"/>
      <c r="E601" s="53"/>
      <c r="F601" s="53"/>
    </row>
    <row r="602" ht="15.75" customHeight="1">
      <c r="A602" s="53"/>
      <c r="B602" s="53"/>
      <c r="C602" s="53"/>
      <c r="D602" s="53"/>
      <c r="E602" s="53"/>
      <c r="F602" s="53"/>
    </row>
    <row r="603" ht="15.75" customHeight="1">
      <c r="A603" s="53"/>
      <c r="B603" s="53"/>
      <c r="C603" s="53"/>
      <c r="D603" s="53"/>
      <c r="E603" s="53"/>
      <c r="F603" s="53"/>
    </row>
    <row r="604" ht="15.75" customHeight="1">
      <c r="A604" s="53"/>
      <c r="B604" s="53"/>
      <c r="C604" s="53"/>
      <c r="D604" s="53"/>
      <c r="E604" s="53"/>
      <c r="F604" s="53"/>
    </row>
    <row r="605" ht="15.75" customHeight="1">
      <c r="A605" s="53"/>
      <c r="B605" s="53"/>
      <c r="C605" s="53"/>
      <c r="D605" s="53"/>
      <c r="E605" s="53"/>
      <c r="F605" s="53"/>
    </row>
    <row r="606" ht="15.75" customHeight="1">
      <c r="A606" s="53"/>
      <c r="B606" s="53"/>
      <c r="C606" s="53"/>
      <c r="D606" s="53"/>
      <c r="E606" s="53"/>
      <c r="F606" s="53"/>
    </row>
    <row r="607" ht="15.75" customHeight="1">
      <c r="A607" s="53"/>
      <c r="B607" s="53"/>
      <c r="C607" s="53"/>
      <c r="D607" s="53"/>
      <c r="E607" s="53"/>
      <c r="F607" s="53"/>
    </row>
    <row r="608" ht="15.75" customHeight="1">
      <c r="A608" s="53"/>
      <c r="B608" s="53"/>
      <c r="C608" s="53"/>
      <c r="D608" s="53"/>
      <c r="E608" s="53"/>
      <c r="F608" s="53"/>
    </row>
    <row r="609" ht="15.75" customHeight="1">
      <c r="A609" s="53"/>
      <c r="B609" s="53"/>
      <c r="C609" s="53"/>
      <c r="D609" s="53"/>
      <c r="E609" s="53"/>
      <c r="F609" s="53"/>
    </row>
    <row r="610" ht="15.75" customHeight="1">
      <c r="A610" s="53"/>
      <c r="B610" s="53"/>
      <c r="C610" s="53"/>
      <c r="D610" s="53"/>
      <c r="E610" s="53"/>
      <c r="F610" s="53"/>
    </row>
    <row r="611" ht="15.75" customHeight="1">
      <c r="A611" s="53"/>
      <c r="B611" s="53"/>
      <c r="C611" s="53"/>
      <c r="D611" s="53"/>
      <c r="E611" s="53"/>
      <c r="F611" s="53"/>
    </row>
    <row r="612" ht="15.75" customHeight="1">
      <c r="A612" s="53"/>
      <c r="B612" s="53"/>
      <c r="C612" s="53"/>
      <c r="D612" s="53"/>
      <c r="E612" s="53"/>
      <c r="F612" s="53"/>
    </row>
    <row r="613" ht="15.75" customHeight="1">
      <c r="A613" s="53"/>
      <c r="B613" s="53"/>
      <c r="C613" s="53"/>
      <c r="D613" s="53"/>
      <c r="E613" s="53"/>
      <c r="F613" s="53"/>
    </row>
    <row r="614" ht="15.75" customHeight="1">
      <c r="A614" s="53"/>
      <c r="B614" s="53"/>
      <c r="C614" s="53"/>
      <c r="D614" s="53"/>
      <c r="E614" s="53"/>
      <c r="F614" s="53"/>
    </row>
    <row r="615" ht="15.75" customHeight="1">
      <c r="A615" s="53"/>
      <c r="B615" s="53"/>
      <c r="C615" s="53"/>
      <c r="D615" s="53"/>
      <c r="E615" s="53"/>
      <c r="F615" s="53"/>
    </row>
    <row r="616" ht="15.75" customHeight="1">
      <c r="A616" s="53"/>
      <c r="B616" s="53"/>
      <c r="C616" s="53"/>
      <c r="D616" s="53"/>
      <c r="E616" s="53"/>
      <c r="F616" s="53"/>
    </row>
    <row r="617" ht="15.75" customHeight="1">
      <c r="A617" s="53"/>
      <c r="B617" s="53"/>
      <c r="C617" s="53"/>
      <c r="D617" s="53"/>
      <c r="E617" s="53"/>
      <c r="F617" s="53"/>
    </row>
    <row r="618" ht="15.75" customHeight="1">
      <c r="A618" s="53"/>
      <c r="B618" s="53"/>
      <c r="C618" s="53"/>
      <c r="D618" s="53"/>
      <c r="E618" s="53"/>
      <c r="F618" s="53"/>
    </row>
    <row r="619" ht="15.75" customHeight="1">
      <c r="A619" s="53"/>
      <c r="B619" s="53"/>
      <c r="C619" s="53"/>
      <c r="D619" s="53"/>
      <c r="E619" s="53"/>
      <c r="F619" s="53"/>
    </row>
    <row r="620" ht="15.75" customHeight="1">
      <c r="A620" s="53"/>
      <c r="B620" s="53"/>
      <c r="C620" s="53"/>
      <c r="D620" s="53"/>
      <c r="E620" s="53"/>
      <c r="F620" s="53"/>
    </row>
    <row r="621" ht="15.75" customHeight="1">
      <c r="A621" s="53"/>
      <c r="B621" s="53"/>
      <c r="C621" s="53"/>
      <c r="D621" s="53"/>
      <c r="E621" s="53"/>
      <c r="F621" s="53"/>
    </row>
    <row r="622" ht="15.75" customHeight="1">
      <c r="A622" s="53"/>
      <c r="B622" s="53"/>
      <c r="C622" s="53"/>
      <c r="D622" s="53"/>
      <c r="E622" s="53"/>
      <c r="F622" s="53"/>
    </row>
    <row r="623" ht="15.75" customHeight="1">
      <c r="A623" s="53"/>
      <c r="B623" s="53"/>
      <c r="C623" s="53"/>
      <c r="D623" s="53"/>
      <c r="E623" s="53"/>
      <c r="F623" s="53"/>
    </row>
    <row r="624" ht="15.75" customHeight="1">
      <c r="A624" s="53"/>
      <c r="B624" s="53"/>
      <c r="C624" s="53"/>
      <c r="D624" s="53"/>
      <c r="E624" s="53"/>
      <c r="F624" s="53"/>
    </row>
    <row r="625" ht="15.75" customHeight="1">
      <c r="A625" s="53"/>
      <c r="B625" s="53"/>
      <c r="C625" s="53"/>
      <c r="D625" s="53"/>
      <c r="E625" s="53"/>
      <c r="F625" s="53"/>
    </row>
    <row r="626" ht="15.75" customHeight="1">
      <c r="A626" s="53"/>
      <c r="B626" s="53"/>
      <c r="C626" s="53"/>
      <c r="D626" s="53"/>
      <c r="E626" s="53"/>
      <c r="F626" s="53"/>
    </row>
    <row r="627" ht="15.75" customHeight="1">
      <c r="A627" s="53"/>
      <c r="B627" s="53"/>
      <c r="C627" s="53"/>
      <c r="D627" s="53"/>
      <c r="E627" s="53"/>
      <c r="F627" s="53"/>
    </row>
    <row r="628" ht="15.75" customHeight="1">
      <c r="A628" s="53"/>
      <c r="B628" s="53"/>
      <c r="C628" s="53"/>
      <c r="D628" s="53"/>
      <c r="E628" s="53"/>
      <c r="F628" s="53"/>
    </row>
    <row r="629" ht="15.75" customHeight="1">
      <c r="A629" s="53"/>
      <c r="B629" s="53"/>
      <c r="C629" s="53"/>
      <c r="D629" s="53"/>
      <c r="E629" s="53"/>
      <c r="F629" s="53"/>
    </row>
    <row r="630" ht="15.75" customHeight="1">
      <c r="A630" s="53"/>
      <c r="B630" s="53"/>
      <c r="C630" s="53"/>
      <c r="D630" s="53"/>
      <c r="E630" s="53"/>
      <c r="F630" s="53"/>
    </row>
    <row r="631" ht="15.75" customHeight="1">
      <c r="A631" s="53"/>
      <c r="B631" s="53"/>
      <c r="C631" s="53"/>
      <c r="D631" s="53"/>
      <c r="E631" s="53"/>
      <c r="F631" s="53"/>
    </row>
    <row r="632" ht="15.75" customHeight="1">
      <c r="A632" s="53"/>
      <c r="B632" s="53"/>
      <c r="C632" s="53"/>
      <c r="D632" s="53"/>
      <c r="E632" s="53"/>
      <c r="F632" s="53"/>
    </row>
    <row r="633" ht="15.75" customHeight="1">
      <c r="A633" s="53"/>
      <c r="B633" s="53"/>
      <c r="C633" s="53"/>
      <c r="D633" s="53"/>
      <c r="E633" s="53"/>
      <c r="F633" s="53"/>
    </row>
    <row r="634" ht="15.75" customHeight="1">
      <c r="A634" s="53"/>
      <c r="B634" s="53"/>
      <c r="C634" s="53"/>
      <c r="D634" s="53"/>
      <c r="E634" s="53"/>
      <c r="F634" s="53"/>
    </row>
    <row r="635" ht="15.75" customHeight="1">
      <c r="A635" s="53"/>
      <c r="B635" s="53"/>
      <c r="C635" s="53"/>
      <c r="D635" s="53"/>
      <c r="E635" s="53"/>
      <c r="F635" s="53"/>
    </row>
    <row r="636" ht="15.75" customHeight="1">
      <c r="A636" s="53"/>
      <c r="B636" s="53"/>
      <c r="C636" s="53"/>
      <c r="D636" s="53"/>
      <c r="E636" s="53"/>
      <c r="F636" s="53"/>
    </row>
    <row r="637" ht="15.75" customHeight="1">
      <c r="A637" s="53"/>
      <c r="B637" s="53"/>
      <c r="C637" s="53"/>
      <c r="D637" s="53"/>
      <c r="E637" s="53"/>
      <c r="F637" s="53"/>
    </row>
    <row r="638" ht="15.75" customHeight="1">
      <c r="A638" s="53"/>
      <c r="B638" s="53"/>
      <c r="C638" s="53"/>
      <c r="D638" s="53"/>
      <c r="E638" s="53"/>
      <c r="F638" s="53"/>
    </row>
    <row r="639" ht="15.75" customHeight="1">
      <c r="A639" s="53"/>
      <c r="B639" s="53"/>
      <c r="C639" s="53"/>
      <c r="D639" s="53"/>
      <c r="E639" s="53"/>
      <c r="F639" s="53"/>
    </row>
    <row r="640" ht="15.75" customHeight="1">
      <c r="A640" s="53"/>
      <c r="B640" s="53"/>
      <c r="C640" s="53"/>
      <c r="D640" s="53"/>
      <c r="E640" s="53"/>
      <c r="F640" s="53"/>
    </row>
    <row r="641" ht="15.75" customHeight="1">
      <c r="A641" s="53"/>
      <c r="B641" s="53"/>
      <c r="C641" s="53"/>
      <c r="D641" s="53"/>
      <c r="E641" s="53"/>
      <c r="F641" s="53"/>
    </row>
    <row r="642" ht="15.75" customHeight="1">
      <c r="A642" s="53"/>
      <c r="B642" s="53"/>
      <c r="C642" s="53"/>
      <c r="D642" s="53"/>
      <c r="E642" s="53"/>
      <c r="F642" s="53"/>
    </row>
    <row r="643" ht="15.75" customHeight="1">
      <c r="A643" s="53"/>
      <c r="B643" s="53"/>
      <c r="C643" s="53"/>
      <c r="D643" s="53"/>
      <c r="E643" s="53"/>
      <c r="F643" s="53"/>
    </row>
    <row r="644" ht="15.75" customHeight="1">
      <c r="A644" s="53"/>
      <c r="B644" s="53"/>
      <c r="C644" s="53"/>
      <c r="D644" s="53"/>
      <c r="E644" s="53"/>
      <c r="F644" s="53"/>
    </row>
    <row r="645" ht="15.75" customHeight="1">
      <c r="A645" s="53"/>
      <c r="B645" s="53"/>
      <c r="C645" s="53"/>
      <c r="D645" s="53"/>
      <c r="E645" s="53"/>
      <c r="F645" s="53"/>
    </row>
    <row r="646" ht="15.75" customHeight="1">
      <c r="A646" s="53"/>
      <c r="B646" s="53"/>
      <c r="C646" s="53"/>
      <c r="D646" s="53"/>
      <c r="E646" s="53"/>
      <c r="F646" s="53"/>
    </row>
    <row r="647" ht="15.75" customHeight="1">
      <c r="A647" s="53"/>
      <c r="B647" s="53"/>
      <c r="C647" s="53"/>
      <c r="D647" s="53"/>
      <c r="E647" s="53"/>
      <c r="F647" s="53"/>
    </row>
    <row r="648" ht="15.75" customHeight="1">
      <c r="A648" s="53"/>
      <c r="B648" s="53"/>
      <c r="C648" s="53"/>
      <c r="D648" s="53"/>
      <c r="E648" s="53"/>
      <c r="F648" s="53"/>
    </row>
    <row r="649" ht="15.75" customHeight="1">
      <c r="A649" s="53"/>
      <c r="B649" s="53"/>
      <c r="C649" s="53"/>
      <c r="D649" s="53"/>
      <c r="E649" s="53"/>
      <c r="F649" s="53"/>
    </row>
    <row r="650" ht="15.75" customHeight="1">
      <c r="A650" s="53"/>
      <c r="B650" s="53"/>
      <c r="C650" s="53"/>
      <c r="D650" s="53"/>
      <c r="E650" s="53"/>
      <c r="F650" s="53"/>
    </row>
    <row r="651" ht="15.75" customHeight="1">
      <c r="A651" s="53"/>
      <c r="B651" s="53"/>
      <c r="C651" s="53"/>
      <c r="D651" s="53"/>
      <c r="E651" s="53"/>
      <c r="F651" s="53"/>
    </row>
    <row r="652" ht="15.75" customHeight="1">
      <c r="A652" s="53"/>
      <c r="B652" s="53"/>
      <c r="C652" s="53"/>
      <c r="D652" s="53"/>
      <c r="E652" s="53"/>
      <c r="F652" s="53"/>
    </row>
    <row r="653" ht="15.75" customHeight="1">
      <c r="A653" s="53"/>
      <c r="B653" s="53"/>
      <c r="C653" s="53"/>
      <c r="D653" s="53"/>
      <c r="E653" s="53"/>
      <c r="F653" s="53"/>
    </row>
    <row r="654" ht="15.75" customHeight="1">
      <c r="A654" s="53"/>
      <c r="B654" s="53"/>
      <c r="C654" s="53"/>
      <c r="D654" s="53"/>
      <c r="E654" s="53"/>
      <c r="F654" s="53"/>
    </row>
    <row r="655" ht="15.75" customHeight="1">
      <c r="A655" s="53"/>
      <c r="B655" s="53"/>
      <c r="C655" s="53"/>
      <c r="D655" s="53"/>
      <c r="E655" s="53"/>
      <c r="F655" s="53"/>
    </row>
    <row r="656" ht="15.75" customHeight="1">
      <c r="A656" s="53"/>
      <c r="B656" s="53"/>
      <c r="C656" s="53"/>
      <c r="D656" s="53"/>
      <c r="E656" s="53"/>
      <c r="F656" s="53"/>
    </row>
    <row r="657" ht="15.75" customHeight="1">
      <c r="A657" s="53"/>
      <c r="B657" s="53"/>
      <c r="C657" s="53"/>
      <c r="D657" s="53"/>
      <c r="E657" s="53"/>
      <c r="F657" s="53"/>
    </row>
    <row r="658" ht="15.75" customHeight="1">
      <c r="A658" s="53"/>
      <c r="B658" s="53"/>
      <c r="C658" s="53"/>
      <c r="D658" s="53"/>
      <c r="E658" s="53"/>
      <c r="F658" s="53"/>
    </row>
    <row r="659" ht="15.75" customHeight="1">
      <c r="A659" s="53"/>
      <c r="B659" s="53"/>
      <c r="C659" s="53"/>
      <c r="D659" s="53"/>
      <c r="E659" s="53"/>
      <c r="F659" s="53"/>
    </row>
    <row r="660" ht="15.75" customHeight="1">
      <c r="A660" s="53"/>
      <c r="B660" s="53"/>
      <c r="C660" s="53"/>
      <c r="D660" s="53"/>
      <c r="E660" s="53"/>
      <c r="F660" s="53"/>
    </row>
    <row r="661" ht="15.75" customHeight="1">
      <c r="A661" s="53"/>
      <c r="B661" s="53"/>
      <c r="C661" s="53"/>
      <c r="D661" s="53"/>
      <c r="E661" s="53"/>
      <c r="F661" s="53"/>
    </row>
    <row r="662" ht="15.75" customHeight="1">
      <c r="A662" s="53"/>
      <c r="B662" s="53"/>
      <c r="C662" s="53"/>
      <c r="D662" s="53"/>
      <c r="E662" s="53"/>
      <c r="F662" s="53"/>
    </row>
    <row r="663" ht="15.75" customHeight="1">
      <c r="A663" s="53"/>
      <c r="B663" s="53"/>
      <c r="C663" s="53"/>
      <c r="D663" s="53"/>
      <c r="E663" s="53"/>
      <c r="F663" s="53"/>
    </row>
    <row r="664" ht="15.75" customHeight="1">
      <c r="A664" s="53"/>
      <c r="B664" s="53"/>
      <c r="C664" s="53"/>
      <c r="D664" s="53"/>
      <c r="E664" s="53"/>
      <c r="F664" s="53"/>
    </row>
    <row r="665" ht="15.75" customHeight="1">
      <c r="A665" s="53"/>
      <c r="B665" s="53"/>
      <c r="C665" s="53"/>
      <c r="D665" s="53"/>
      <c r="E665" s="53"/>
      <c r="F665" s="53"/>
    </row>
    <row r="666" ht="15.75" customHeight="1">
      <c r="A666" s="53"/>
      <c r="B666" s="53"/>
      <c r="C666" s="53"/>
      <c r="D666" s="53"/>
      <c r="E666" s="53"/>
      <c r="F666" s="53"/>
    </row>
    <row r="667" ht="15.75" customHeight="1">
      <c r="A667" s="53"/>
      <c r="B667" s="53"/>
      <c r="C667" s="53"/>
      <c r="D667" s="53"/>
      <c r="E667" s="53"/>
      <c r="F667" s="53"/>
    </row>
    <row r="668" ht="15.75" customHeight="1">
      <c r="A668" s="53"/>
      <c r="B668" s="53"/>
      <c r="C668" s="53"/>
      <c r="D668" s="53"/>
      <c r="E668" s="53"/>
      <c r="F668" s="53"/>
    </row>
    <row r="669" ht="15.75" customHeight="1">
      <c r="A669" s="53"/>
      <c r="B669" s="53"/>
      <c r="C669" s="53"/>
      <c r="D669" s="53"/>
      <c r="E669" s="53"/>
      <c r="F669" s="53"/>
    </row>
    <row r="670" ht="15.75" customHeight="1">
      <c r="A670" s="53"/>
      <c r="B670" s="53"/>
      <c r="C670" s="53"/>
      <c r="D670" s="53"/>
      <c r="E670" s="53"/>
      <c r="F670" s="53"/>
    </row>
    <row r="671" ht="15.75" customHeight="1">
      <c r="A671" s="53"/>
      <c r="B671" s="53"/>
      <c r="C671" s="53"/>
      <c r="D671" s="53"/>
      <c r="E671" s="53"/>
      <c r="F671" s="53"/>
    </row>
    <row r="672" ht="15.75" customHeight="1">
      <c r="A672" s="53"/>
      <c r="B672" s="53"/>
      <c r="C672" s="53"/>
      <c r="D672" s="53"/>
      <c r="E672" s="53"/>
      <c r="F672" s="53"/>
    </row>
    <row r="673" ht="15.75" customHeight="1">
      <c r="A673" s="53"/>
      <c r="B673" s="53"/>
      <c r="C673" s="53"/>
      <c r="D673" s="53"/>
      <c r="E673" s="53"/>
      <c r="F673" s="53"/>
    </row>
    <row r="674" ht="15.75" customHeight="1">
      <c r="A674" s="53"/>
      <c r="B674" s="53"/>
      <c r="C674" s="53"/>
      <c r="D674" s="53"/>
      <c r="E674" s="53"/>
      <c r="F674" s="53"/>
    </row>
    <row r="675" ht="15.75" customHeight="1">
      <c r="A675" s="53"/>
      <c r="B675" s="53"/>
      <c r="C675" s="53"/>
      <c r="D675" s="53"/>
      <c r="E675" s="53"/>
      <c r="F675" s="53"/>
    </row>
    <row r="676" ht="15.75" customHeight="1">
      <c r="A676" s="53"/>
      <c r="B676" s="53"/>
      <c r="C676" s="53"/>
      <c r="D676" s="53"/>
      <c r="E676" s="53"/>
      <c r="F676" s="53"/>
    </row>
    <row r="677" ht="15.75" customHeight="1">
      <c r="A677" s="53"/>
      <c r="B677" s="53"/>
      <c r="C677" s="53"/>
      <c r="D677" s="53"/>
      <c r="E677" s="53"/>
      <c r="F677" s="53"/>
    </row>
    <row r="678" ht="15.75" customHeight="1">
      <c r="A678" s="53"/>
      <c r="B678" s="53"/>
      <c r="C678" s="53"/>
      <c r="D678" s="53"/>
      <c r="E678" s="53"/>
      <c r="F678" s="53"/>
    </row>
    <row r="679" ht="15.75" customHeight="1">
      <c r="A679" s="53"/>
      <c r="B679" s="53"/>
      <c r="C679" s="53"/>
      <c r="D679" s="53"/>
      <c r="E679" s="53"/>
      <c r="F679" s="53"/>
    </row>
    <row r="680" ht="15.75" customHeight="1">
      <c r="A680" s="53"/>
      <c r="B680" s="53"/>
      <c r="C680" s="53"/>
      <c r="D680" s="53"/>
      <c r="E680" s="53"/>
      <c r="F680" s="53"/>
    </row>
    <row r="681" ht="15.75" customHeight="1">
      <c r="A681" s="53"/>
      <c r="B681" s="53"/>
      <c r="C681" s="53"/>
      <c r="D681" s="53"/>
      <c r="E681" s="53"/>
      <c r="F681" s="53"/>
    </row>
    <row r="682" ht="15.75" customHeight="1">
      <c r="A682" s="53"/>
      <c r="B682" s="53"/>
      <c r="C682" s="53"/>
      <c r="D682" s="53"/>
      <c r="E682" s="53"/>
      <c r="F682" s="53"/>
    </row>
    <row r="683" ht="15.75" customHeight="1">
      <c r="A683" s="53"/>
      <c r="B683" s="53"/>
      <c r="C683" s="53"/>
      <c r="D683" s="53"/>
      <c r="E683" s="53"/>
      <c r="F683" s="53"/>
    </row>
    <row r="684" ht="15.75" customHeight="1">
      <c r="A684" s="53"/>
      <c r="B684" s="53"/>
      <c r="C684" s="53"/>
      <c r="D684" s="53"/>
      <c r="E684" s="53"/>
      <c r="F684" s="53"/>
    </row>
    <row r="685" ht="15.75" customHeight="1">
      <c r="A685" s="53"/>
      <c r="B685" s="53"/>
      <c r="C685" s="53"/>
      <c r="D685" s="53"/>
      <c r="E685" s="53"/>
      <c r="F685" s="53"/>
    </row>
    <row r="686" ht="15.75" customHeight="1">
      <c r="A686" s="53"/>
      <c r="B686" s="53"/>
      <c r="C686" s="53"/>
      <c r="D686" s="53"/>
      <c r="E686" s="53"/>
      <c r="F686" s="53"/>
    </row>
    <row r="687" ht="15.75" customHeight="1">
      <c r="A687" s="53"/>
      <c r="B687" s="53"/>
      <c r="C687" s="53"/>
      <c r="D687" s="53"/>
      <c r="E687" s="53"/>
      <c r="F687" s="53"/>
    </row>
    <row r="688" ht="15.75" customHeight="1">
      <c r="A688" s="53"/>
      <c r="B688" s="53"/>
      <c r="C688" s="53"/>
      <c r="D688" s="53"/>
      <c r="E688" s="53"/>
      <c r="F688" s="53"/>
    </row>
    <row r="689" ht="15.75" customHeight="1">
      <c r="A689" s="53"/>
      <c r="B689" s="53"/>
      <c r="C689" s="53"/>
      <c r="D689" s="53"/>
      <c r="E689" s="53"/>
      <c r="F689" s="53"/>
    </row>
    <row r="690" ht="15.75" customHeight="1">
      <c r="A690" s="53"/>
      <c r="B690" s="53"/>
      <c r="C690" s="53"/>
      <c r="D690" s="53"/>
      <c r="E690" s="53"/>
      <c r="F690" s="53"/>
    </row>
    <row r="691" ht="15.75" customHeight="1">
      <c r="A691" s="53"/>
      <c r="B691" s="53"/>
      <c r="C691" s="53"/>
      <c r="D691" s="53"/>
      <c r="E691" s="53"/>
      <c r="F691" s="53"/>
    </row>
    <row r="692" ht="15.75" customHeight="1">
      <c r="A692" s="53"/>
      <c r="B692" s="53"/>
      <c r="C692" s="53"/>
      <c r="D692" s="53"/>
      <c r="E692" s="53"/>
      <c r="F692" s="53"/>
    </row>
    <row r="693" ht="15.75" customHeight="1">
      <c r="A693" s="53"/>
      <c r="B693" s="53"/>
      <c r="C693" s="53"/>
      <c r="D693" s="53"/>
      <c r="E693" s="53"/>
      <c r="F693" s="53"/>
    </row>
    <row r="694" ht="15.75" customHeight="1">
      <c r="A694" s="53"/>
      <c r="B694" s="53"/>
      <c r="C694" s="53"/>
      <c r="D694" s="53"/>
      <c r="E694" s="53"/>
      <c r="F694" s="53"/>
    </row>
    <row r="695" ht="15.75" customHeight="1">
      <c r="A695" s="53"/>
      <c r="B695" s="53"/>
      <c r="C695" s="53"/>
      <c r="D695" s="53"/>
      <c r="E695" s="53"/>
      <c r="F695" s="53"/>
    </row>
    <row r="696" ht="15.75" customHeight="1">
      <c r="A696" s="53"/>
      <c r="B696" s="53"/>
      <c r="C696" s="53"/>
      <c r="D696" s="53"/>
      <c r="E696" s="53"/>
      <c r="F696" s="53"/>
    </row>
    <row r="697" ht="15.75" customHeight="1">
      <c r="A697" s="53"/>
      <c r="B697" s="53"/>
      <c r="C697" s="53"/>
      <c r="D697" s="53"/>
      <c r="E697" s="53"/>
      <c r="F697" s="53"/>
    </row>
    <row r="698" ht="15.75" customHeight="1">
      <c r="A698" s="53"/>
      <c r="B698" s="53"/>
      <c r="C698" s="53"/>
      <c r="D698" s="53"/>
      <c r="E698" s="53"/>
      <c r="F698" s="53"/>
    </row>
    <row r="699" ht="15.75" customHeight="1">
      <c r="A699" s="53"/>
      <c r="B699" s="53"/>
      <c r="C699" s="53"/>
      <c r="D699" s="53"/>
      <c r="E699" s="53"/>
      <c r="F699" s="53"/>
    </row>
    <row r="700" ht="15.75" customHeight="1">
      <c r="A700" s="53"/>
      <c r="B700" s="53"/>
      <c r="C700" s="53"/>
      <c r="D700" s="53"/>
      <c r="E700" s="53"/>
      <c r="F700" s="53"/>
    </row>
    <row r="701" ht="15.75" customHeight="1">
      <c r="A701" s="53"/>
      <c r="B701" s="53"/>
      <c r="C701" s="53"/>
      <c r="D701" s="53"/>
      <c r="E701" s="53"/>
      <c r="F701" s="53"/>
    </row>
    <row r="702" ht="15.75" customHeight="1">
      <c r="A702" s="53"/>
      <c r="B702" s="53"/>
      <c r="C702" s="53"/>
      <c r="D702" s="53"/>
      <c r="E702" s="53"/>
      <c r="F702" s="53"/>
    </row>
    <row r="703" ht="15.75" customHeight="1">
      <c r="A703" s="53"/>
      <c r="B703" s="53"/>
      <c r="C703" s="53"/>
      <c r="D703" s="53"/>
      <c r="E703" s="53"/>
      <c r="F703" s="53"/>
    </row>
    <row r="704" ht="15.75" customHeight="1">
      <c r="A704" s="53"/>
      <c r="B704" s="53"/>
      <c r="C704" s="53"/>
      <c r="D704" s="53"/>
      <c r="E704" s="53"/>
      <c r="F704" s="53"/>
    </row>
    <row r="705" ht="15.75" customHeight="1">
      <c r="A705" s="53"/>
      <c r="B705" s="53"/>
      <c r="C705" s="53"/>
      <c r="D705" s="53"/>
      <c r="E705" s="53"/>
      <c r="F705" s="53"/>
    </row>
    <row r="706" ht="15.75" customHeight="1">
      <c r="A706" s="53"/>
      <c r="B706" s="53"/>
      <c r="C706" s="53"/>
      <c r="D706" s="53"/>
      <c r="E706" s="53"/>
      <c r="F706" s="53"/>
    </row>
    <row r="707" ht="15.75" customHeight="1">
      <c r="A707" s="53"/>
      <c r="B707" s="53"/>
      <c r="C707" s="53"/>
      <c r="D707" s="53"/>
      <c r="E707" s="53"/>
      <c r="F707" s="53"/>
    </row>
    <row r="708" ht="15.75" customHeight="1">
      <c r="A708" s="53"/>
      <c r="B708" s="53"/>
      <c r="C708" s="53"/>
      <c r="D708" s="53"/>
      <c r="E708" s="53"/>
      <c r="F708" s="53"/>
    </row>
    <row r="709" ht="15.75" customHeight="1">
      <c r="A709" s="53"/>
      <c r="B709" s="53"/>
      <c r="C709" s="53"/>
      <c r="D709" s="53"/>
      <c r="E709" s="53"/>
      <c r="F709" s="53"/>
    </row>
    <row r="710" ht="15.75" customHeight="1">
      <c r="A710" s="53"/>
      <c r="B710" s="53"/>
      <c r="C710" s="53"/>
      <c r="D710" s="53"/>
      <c r="E710" s="53"/>
      <c r="F710" s="53"/>
    </row>
    <row r="711" ht="15.75" customHeight="1">
      <c r="A711" s="53"/>
      <c r="B711" s="53"/>
      <c r="C711" s="53"/>
      <c r="D711" s="53"/>
      <c r="E711" s="53"/>
      <c r="F711" s="53"/>
    </row>
    <row r="712" ht="15.75" customHeight="1">
      <c r="A712" s="53"/>
      <c r="B712" s="53"/>
      <c r="C712" s="53"/>
      <c r="D712" s="53"/>
      <c r="E712" s="53"/>
      <c r="F712" s="53"/>
    </row>
    <row r="713" ht="15.75" customHeight="1">
      <c r="A713" s="53"/>
      <c r="B713" s="53"/>
      <c r="C713" s="53"/>
      <c r="D713" s="53"/>
      <c r="E713" s="53"/>
      <c r="F713" s="53"/>
    </row>
    <row r="714" ht="15.75" customHeight="1">
      <c r="A714" s="53"/>
      <c r="B714" s="53"/>
      <c r="C714" s="53"/>
      <c r="D714" s="53"/>
      <c r="E714" s="53"/>
      <c r="F714" s="53"/>
    </row>
    <row r="715" ht="15.75" customHeight="1">
      <c r="A715" s="53"/>
      <c r="B715" s="53"/>
      <c r="C715" s="53"/>
      <c r="D715" s="53"/>
      <c r="E715" s="53"/>
      <c r="F715" s="53"/>
    </row>
    <row r="716" ht="15.75" customHeight="1">
      <c r="A716" s="53"/>
      <c r="B716" s="53"/>
      <c r="C716" s="53"/>
      <c r="D716" s="53"/>
      <c r="E716" s="53"/>
      <c r="F716" s="53"/>
    </row>
    <row r="717" ht="15.75" customHeight="1">
      <c r="A717" s="53"/>
      <c r="B717" s="53"/>
      <c r="C717" s="53"/>
      <c r="D717" s="53"/>
      <c r="E717" s="53"/>
      <c r="F717" s="53"/>
    </row>
    <row r="718" ht="15.75" customHeight="1">
      <c r="A718" s="53"/>
      <c r="B718" s="53"/>
      <c r="C718" s="53"/>
      <c r="D718" s="53"/>
      <c r="E718" s="53"/>
      <c r="F718" s="53"/>
    </row>
    <row r="719" ht="15.75" customHeight="1">
      <c r="A719" s="53"/>
      <c r="B719" s="53"/>
      <c r="C719" s="53"/>
      <c r="D719" s="53"/>
      <c r="E719" s="53"/>
      <c r="F719" s="53"/>
    </row>
    <row r="720" ht="15.75" customHeight="1">
      <c r="A720" s="53"/>
      <c r="B720" s="53"/>
      <c r="C720" s="53"/>
      <c r="D720" s="53"/>
      <c r="E720" s="53"/>
      <c r="F720" s="53"/>
    </row>
    <row r="721" ht="15.75" customHeight="1">
      <c r="A721" s="53"/>
      <c r="B721" s="53"/>
      <c r="C721" s="53"/>
      <c r="D721" s="53"/>
      <c r="E721" s="53"/>
      <c r="F721" s="53"/>
    </row>
    <row r="722" ht="15.75" customHeight="1">
      <c r="A722" s="53"/>
      <c r="B722" s="53"/>
      <c r="C722" s="53"/>
      <c r="D722" s="53"/>
      <c r="E722" s="53"/>
      <c r="F722" s="53"/>
    </row>
    <row r="723" ht="15.75" customHeight="1">
      <c r="A723" s="53"/>
      <c r="B723" s="53"/>
      <c r="C723" s="53"/>
      <c r="D723" s="53"/>
      <c r="E723" s="53"/>
      <c r="F723" s="53"/>
    </row>
    <row r="724" ht="15.75" customHeight="1">
      <c r="A724" s="53"/>
      <c r="B724" s="53"/>
      <c r="C724" s="53"/>
      <c r="D724" s="53"/>
      <c r="E724" s="53"/>
      <c r="F724" s="53"/>
    </row>
    <row r="725" ht="15.75" customHeight="1">
      <c r="A725" s="53"/>
      <c r="B725" s="53"/>
      <c r="C725" s="53"/>
      <c r="D725" s="53"/>
      <c r="E725" s="53"/>
      <c r="F725" s="53"/>
    </row>
    <row r="726" ht="15.75" customHeight="1">
      <c r="A726" s="53"/>
      <c r="B726" s="53"/>
      <c r="C726" s="53"/>
      <c r="D726" s="53"/>
      <c r="E726" s="53"/>
      <c r="F726" s="53"/>
    </row>
    <row r="727" ht="15.75" customHeight="1">
      <c r="A727" s="53"/>
      <c r="B727" s="53"/>
      <c r="C727" s="53"/>
      <c r="D727" s="53"/>
      <c r="E727" s="53"/>
      <c r="F727" s="53"/>
    </row>
    <row r="728" ht="15.75" customHeight="1">
      <c r="A728" s="53"/>
      <c r="B728" s="53"/>
      <c r="C728" s="53"/>
      <c r="D728" s="53"/>
      <c r="E728" s="53"/>
      <c r="F728" s="53"/>
    </row>
    <row r="729" ht="15.75" customHeight="1">
      <c r="A729" s="53"/>
      <c r="B729" s="53"/>
      <c r="C729" s="53"/>
      <c r="D729" s="53"/>
      <c r="E729" s="53"/>
      <c r="F729" s="53"/>
    </row>
    <row r="730" ht="15.75" customHeight="1">
      <c r="A730" s="53"/>
      <c r="B730" s="53"/>
      <c r="C730" s="53"/>
      <c r="D730" s="53"/>
      <c r="E730" s="53"/>
      <c r="F730" s="53"/>
    </row>
    <row r="731" ht="15.75" customHeight="1">
      <c r="A731" s="53"/>
      <c r="B731" s="53"/>
      <c r="C731" s="53"/>
      <c r="D731" s="53"/>
      <c r="E731" s="53"/>
      <c r="F731" s="53"/>
    </row>
    <row r="732" ht="15.75" customHeight="1">
      <c r="A732" s="53"/>
      <c r="B732" s="53"/>
      <c r="C732" s="53"/>
      <c r="D732" s="53"/>
      <c r="E732" s="53"/>
      <c r="F732" s="53"/>
    </row>
    <row r="733" ht="15.75" customHeight="1">
      <c r="A733" s="53"/>
      <c r="B733" s="53"/>
      <c r="C733" s="53"/>
      <c r="D733" s="53"/>
      <c r="E733" s="53"/>
      <c r="F733" s="53"/>
    </row>
    <row r="734" ht="15.75" customHeight="1">
      <c r="A734" s="53"/>
      <c r="B734" s="53"/>
      <c r="C734" s="53"/>
      <c r="D734" s="53"/>
      <c r="E734" s="53"/>
      <c r="F734" s="53"/>
    </row>
    <row r="735" ht="15.75" customHeight="1">
      <c r="A735" s="53"/>
      <c r="B735" s="53"/>
      <c r="C735" s="53"/>
      <c r="D735" s="53"/>
      <c r="E735" s="53"/>
      <c r="F735" s="53"/>
    </row>
    <row r="736" ht="15.75" customHeight="1">
      <c r="A736" s="53"/>
      <c r="B736" s="53"/>
      <c r="C736" s="53"/>
      <c r="D736" s="53"/>
      <c r="E736" s="53"/>
      <c r="F736" s="53"/>
    </row>
    <row r="737" ht="15.75" customHeight="1">
      <c r="A737" s="53"/>
      <c r="B737" s="53"/>
      <c r="C737" s="53"/>
      <c r="D737" s="53"/>
      <c r="E737" s="53"/>
      <c r="F737" s="53"/>
    </row>
    <row r="738" ht="15.75" customHeight="1">
      <c r="A738" s="53"/>
      <c r="B738" s="53"/>
      <c r="C738" s="53"/>
      <c r="D738" s="53"/>
      <c r="E738" s="53"/>
      <c r="F738" s="53"/>
    </row>
    <row r="739" ht="15.75" customHeight="1">
      <c r="A739" s="53"/>
      <c r="B739" s="53"/>
      <c r="C739" s="53"/>
      <c r="D739" s="53"/>
      <c r="E739" s="53"/>
      <c r="F739" s="53"/>
    </row>
    <row r="740" ht="15.75" customHeight="1">
      <c r="A740" s="53"/>
      <c r="B740" s="53"/>
      <c r="C740" s="53"/>
      <c r="D740" s="53"/>
      <c r="E740" s="53"/>
      <c r="F740" s="53"/>
    </row>
    <row r="741" ht="15.75" customHeight="1">
      <c r="A741" s="53"/>
      <c r="B741" s="53"/>
      <c r="C741" s="53"/>
      <c r="D741" s="53"/>
      <c r="E741" s="53"/>
      <c r="F741" s="53"/>
    </row>
    <row r="742" ht="15.75" customHeight="1">
      <c r="A742" s="53"/>
      <c r="B742" s="53"/>
      <c r="C742" s="53"/>
      <c r="D742" s="53"/>
      <c r="E742" s="53"/>
      <c r="F742" s="53"/>
    </row>
    <row r="743" ht="15.75" customHeight="1">
      <c r="A743" s="53"/>
      <c r="B743" s="53"/>
      <c r="C743" s="53"/>
      <c r="D743" s="53"/>
      <c r="E743" s="53"/>
      <c r="F743" s="53"/>
    </row>
    <row r="744" ht="15.75" customHeight="1">
      <c r="A744" s="53"/>
      <c r="B744" s="53"/>
      <c r="C744" s="53"/>
      <c r="D744" s="53"/>
      <c r="E744" s="53"/>
      <c r="F744" s="53"/>
    </row>
    <row r="745" ht="15.75" customHeight="1">
      <c r="A745" s="53"/>
      <c r="B745" s="53"/>
      <c r="C745" s="53"/>
      <c r="D745" s="53"/>
      <c r="E745" s="53"/>
      <c r="F745" s="53"/>
    </row>
    <row r="746" ht="15.75" customHeight="1">
      <c r="A746" s="53"/>
      <c r="B746" s="53"/>
      <c r="C746" s="53"/>
      <c r="D746" s="53"/>
      <c r="E746" s="53"/>
      <c r="F746" s="53"/>
    </row>
    <row r="747" ht="15.75" customHeight="1">
      <c r="A747" s="53"/>
      <c r="B747" s="53"/>
      <c r="C747" s="53"/>
      <c r="D747" s="53"/>
      <c r="E747" s="53"/>
      <c r="F747" s="53"/>
    </row>
    <row r="748" ht="15.75" customHeight="1">
      <c r="A748" s="53"/>
      <c r="B748" s="53"/>
      <c r="C748" s="53"/>
      <c r="D748" s="53"/>
      <c r="E748" s="53"/>
      <c r="F748" s="53"/>
    </row>
    <row r="749" ht="15.75" customHeight="1">
      <c r="A749" s="53"/>
      <c r="B749" s="53"/>
      <c r="C749" s="53"/>
      <c r="D749" s="53"/>
      <c r="E749" s="53"/>
      <c r="F749" s="53"/>
    </row>
    <row r="750" ht="15.75" customHeight="1">
      <c r="A750" s="53"/>
      <c r="B750" s="53"/>
      <c r="C750" s="53"/>
      <c r="D750" s="53"/>
      <c r="E750" s="53"/>
      <c r="F750" s="53"/>
    </row>
    <row r="751" ht="15.75" customHeight="1">
      <c r="A751" s="53"/>
      <c r="B751" s="53"/>
      <c r="C751" s="53"/>
      <c r="D751" s="53"/>
      <c r="E751" s="53"/>
      <c r="F751" s="53"/>
    </row>
    <row r="752" ht="15.75" customHeight="1">
      <c r="A752" s="53"/>
      <c r="B752" s="53"/>
      <c r="C752" s="53"/>
      <c r="D752" s="53"/>
      <c r="E752" s="53"/>
      <c r="F752" s="53"/>
    </row>
    <row r="753" ht="15.75" customHeight="1">
      <c r="A753" s="53"/>
      <c r="B753" s="53"/>
      <c r="C753" s="53"/>
      <c r="D753" s="53"/>
      <c r="E753" s="53"/>
      <c r="F753" s="53"/>
    </row>
    <row r="754" ht="15.75" customHeight="1">
      <c r="A754" s="53"/>
      <c r="B754" s="53"/>
      <c r="C754" s="53"/>
      <c r="D754" s="53"/>
      <c r="E754" s="53"/>
      <c r="F754" s="53"/>
    </row>
    <row r="755" ht="15.75" customHeight="1">
      <c r="A755" s="53"/>
      <c r="B755" s="53"/>
      <c r="C755" s="53"/>
      <c r="D755" s="53"/>
      <c r="E755" s="53"/>
      <c r="F755" s="53"/>
    </row>
    <row r="756" ht="15.75" customHeight="1">
      <c r="A756" s="53"/>
      <c r="B756" s="53"/>
      <c r="C756" s="53"/>
      <c r="D756" s="53"/>
      <c r="E756" s="53"/>
      <c r="F756" s="53"/>
    </row>
    <row r="757" ht="15.75" customHeight="1">
      <c r="A757" s="53"/>
      <c r="B757" s="53"/>
      <c r="C757" s="53"/>
      <c r="D757" s="53"/>
      <c r="E757" s="53"/>
      <c r="F757" s="53"/>
    </row>
    <row r="758" ht="15.75" customHeight="1">
      <c r="A758" s="53"/>
      <c r="B758" s="53"/>
      <c r="C758" s="53"/>
      <c r="D758" s="53"/>
      <c r="E758" s="53"/>
      <c r="F758" s="53"/>
    </row>
    <row r="759" ht="15.75" customHeight="1">
      <c r="A759" s="53"/>
      <c r="B759" s="53"/>
      <c r="C759" s="53"/>
      <c r="D759" s="53"/>
      <c r="E759" s="53"/>
      <c r="F759" s="53"/>
    </row>
    <row r="760" ht="15.75" customHeight="1">
      <c r="A760" s="53"/>
      <c r="B760" s="53"/>
      <c r="C760" s="53"/>
      <c r="D760" s="53"/>
      <c r="E760" s="53"/>
      <c r="F760" s="53"/>
    </row>
    <row r="761" ht="15.75" customHeight="1">
      <c r="A761" s="53"/>
      <c r="B761" s="53"/>
      <c r="C761" s="53"/>
      <c r="D761" s="53"/>
      <c r="E761" s="53"/>
      <c r="F761" s="53"/>
    </row>
    <row r="762" ht="15.75" customHeight="1">
      <c r="A762" s="53"/>
      <c r="B762" s="53"/>
      <c r="C762" s="53"/>
      <c r="D762" s="53"/>
      <c r="E762" s="53"/>
      <c r="F762" s="53"/>
    </row>
    <row r="763" ht="15.75" customHeight="1">
      <c r="A763" s="53"/>
      <c r="B763" s="53"/>
      <c r="C763" s="53"/>
      <c r="D763" s="53"/>
      <c r="E763" s="53"/>
      <c r="F763" s="53"/>
    </row>
    <row r="764" ht="15.75" customHeight="1">
      <c r="A764" s="53"/>
      <c r="B764" s="53"/>
      <c r="C764" s="53"/>
      <c r="D764" s="53"/>
      <c r="E764" s="53"/>
      <c r="F764" s="53"/>
    </row>
    <row r="765" ht="15.75" customHeight="1">
      <c r="A765" s="53"/>
      <c r="B765" s="53"/>
      <c r="C765" s="53"/>
      <c r="D765" s="53"/>
      <c r="E765" s="53"/>
      <c r="F765" s="53"/>
    </row>
    <row r="766" ht="15.75" customHeight="1">
      <c r="A766" s="53"/>
      <c r="B766" s="53"/>
      <c r="C766" s="53"/>
      <c r="D766" s="53"/>
      <c r="E766" s="53"/>
      <c r="F766" s="53"/>
    </row>
    <row r="767" ht="15.75" customHeight="1">
      <c r="A767" s="53"/>
      <c r="B767" s="53"/>
      <c r="C767" s="53"/>
      <c r="D767" s="53"/>
      <c r="E767" s="53"/>
      <c r="F767" s="53"/>
    </row>
    <row r="768" ht="15.75" customHeight="1">
      <c r="A768" s="53"/>
      <c r="B768" s="53"/>
      <c r="C768" s="53"/>
      <c r="D768" s="53"/>
      <c r="E768" s="53"/>
      <c r="F768" s="53"/>
    </row>
    <row r="769" ht="15.75" customHeight="1">
      <c r="A769" s="53"/>
      <c r="B769" s="53"/>
      <c r="C769" s="53"/>
      <c r="D769" s="53"/>
      <c r="E769" s="53"/>
      <c r="F769" s="53"/>
    </row>
    <row r="770" ht="15.75" customHeight="1">
      <c r="A770" s="53"/>
      <c r="B770" s="53"/>
      <c r="C770" s="53"/>
      <c r="D770" s="53"/>
      <c r="E770" s="53"/>
      <c r="F770" s="53"/>
    </row>
    <row r="771" ht="15.75" customHeight="1">
      <c r="A771" s="53"/>
      <c r="B771" s="53"/>
      <c r="C771" s="53"/>
      <c r="D771" s="53"/>
      <c r="E771" s="53"/>
      <c r="F771" s="53"/>
    </row>
    <row r="772" ht="15.75" customHeight="1">
      <c r="A772" s="53"/>
      <c r="B772" s="53"/>
      <c r="C772" s="53"/>
      <c r="D772" s="53"/>
      <c r="E772" s="53"/>
      <c r="F772" s="53"/>
    </row>
    <row r="773" ht="15.75" customHeight="1">
      <c r="A773" s="53"/>
      <c r="B773" s="53"/>
      <c r="C773" s="53"/>
      <c r="D773" s="53"/>
      <c r="E773" s="53"/>
      <c r="F773" s="53"/>
    </row>
    <row r="774" ht="15.75" customHeight="1">
      <c r="A774" s="53"/>
      <c r="B774" s="53"/>
      <c r="C774" s="53"/>
      <c r="D774" s="53"/>
      <c r="E774" s="53"/>
      <c r="F774" s="53"/>
    </row>
    <row r="775" ht="15.75" customHeight="1">
      <c r="A775" s="53"/>
      <c r="B775" s="53"/>
      <c r="C775" s="53"/>
      <c r="D775" s="53"/>
      <c r="E775" s="53"/>
      <c r="F775" s="53"/>
    </row>
    <row r="776" ht="15.75" customHeight="1">
      <c r="A776" s="53"/>
      <c r="B776" s="53"/>
      <c r="C776" s="53"/>
      <c r="D776" s="53"/>
      <c r="E776" s="53"/>
      <c r="F776" s="53"/>
    </row>
    <row r="777" ht="15.75" customHeight="1">
      <c r="A777" s="53"/>
      <c r="B777" s="53"/>
      <c r="C777" s="53"/>
      <c r="D777" s="53"/>
      <c r="E777" s="53"/>
      <c r="F777" s="53"/>
    </row>
    <row r="778" ht="15.75" customHeight="1">
      <c r="A778" s="53"/>
      <c r="B778" s="53"/>
      <c r="C778" s="53"/>
      <c r="D778" s="53"/>
      <c r="E778" s="53"/>
      <c r="F778" s="53"/>
    </row>
    <row r="779" ht="15.75" customHeight="1">
      <c r="A779" s="53"/>
      <c r="B779" s="53"/>
      <c r="C779" s="53"/>
      <c r="D779" s="53"/>
      <c r="E779" s="53"/>
      <c r="F779" s="53"/>
    </row>
    <row r="780" ht="15.75" customHeight="1">
      <c r="A780" s="53"/>
      <c r="B780" s="53"/>
      <c r="C780" s="53"/>
      <c r="D780" s="53"/>
      <c r="E780" s="53"/>
      <c r="F780" s="53"/>
    </row>
    <row r="781" ht="15.75" customHeight="1">
      <c r="A781" s="53"/>
      <c r="B781" s="53"/>
      <c r="C781" s="53"/>
      <c r="D781" s="53"/>
      <c r="E781" s="53"/>
      <c r="F781" s="53"/>
    </row>
    <row r="782" ht="15.75" customHeight="1">
      <c r="A782" s="53"/>
      <c r="B782" s="53"/>
      <c r="C782" s="53"/>
      <c r="D782" s="53"/>
      <c r="E782" s="53"/>
      <c r="F782" s="53"/>
    </row>
    <row r="783" ht="15.75" customHeight="1">
      <c r="A783" s="53"/>
      <c r="B783" s="53"/>
      <c r="C783" s="53"/>
      <c r="D783" s="53"/>
      <c r="E783" s="53"/>
      <c r="F783" s="53"/>
    </row>
    <row r="784" ht="15.75" customHeight="1">
      <c r="A784" s="53"/>
      <c r="B784" s="53"/>
      <c r="C784" s="53"/>
      <c r="D784" s="53"/>
      <c r="E784" s="53"/>
      <c r="F784" s="53"/>
    </row>
    <row r="785" ht="15.75" customHeight="1">
      <c r="A785" s="53"/>
      <c r="B785" s="53"/>
      <c r="C785" s="53"/>
      <c r="D785" s="53"/>
      <c r="E785" s="53"/>
      <c r="F785" s="53"/>
    </row>
    <row r="786" ht="15.75" customHeight="1">
      <c r="A786" s="53"/>
      <c r="B786" s="53"/>
      <c r="C786" s="53"/>
      <c r="D786" s="53"/>
      <c r="E786" s="53"/>
      <c r="F786" s="53"/>
    </row>
    <row r="787" ht="15.75" customHeight="1">
      <c r="A787" s="53"/>
      <c r="B787" s="53"/>
      <c r="C787" s="53"/>
      <c r="D787" s="53"/>
      <c r="E787" s="53"/>
      <c r="F787" s="53"/>
    </row>
    <row r="788" ht="15.75" customHeight="1">
      <c r="A788" s="53"/>
      <c r="B788" s="53"/>
      <c r="C788" s="53"/>
      <c r="D788" s="53"/>
      <c r="E788" s="53"/>
      <c r="F788" s="53"/>
    </row>
    <row r="789" ht="15.75" customHeight="1">
      <c r="A789" s="53"/>
      <c r="B789" s="53"/>
      <c r="C789" s="53"/>
      <c r="D789" s="53"/>
      <c r="E789" s="53"/>
      <c r="F789" s="53"/>
    </row>
    <row r="790" ht="15.75" customHeight="1">
      <c r="A790" s="53"/>
      <c r="B790" s="53"/>
      <c r="C790" s="53"/>
      <c r="D790" s="53"/>
      <c r="E790" s="53"/>
      <c r="F790" s="53"/>
    </row>
    <row r="791" ht="15.75" customHeight="1">
      <c r="A791" s="53"/>
      <c r="B791" s="53"/>
      <c r="C791" s="53"/>
      <c r="D791" s="53"/>
      <c r="E791" s="53"/>
      <c r="F791" s="53"/>
    </row>
    <row r="792" ht="15.75" customHeight="1">
      <c r="A792" s="53"/>
      <c r="B792" s="53"/>
      <c r="C792" s="53"/>
      <c r="D792" s="53"/>
      <c r="E792" s="53"/>
      <c r="F792" s="53"/>
    </row>
    <row r="793" ht="15.75" customHeight="1">
      <c r="A793" s="53"/>
      <c r="B793" s="53"/>
      <c r="C793" s="53"/>
      <c r="D793" s="53"/>
      <c r="E793" s="53"/>
      <c r="F793" s="53"/>
    </row>
    <row r="794" ht="15.75" customHeight="1">
      <c r="A794" s="53"/>
      <c r="B794" s="53"/>
      <c r="C794" s="53"/>
      <c r="D794" s="53"/>
      <c r="E794" s="53"/>
      <c r="F794" s="53"/>
    </row>
    <row r="795" ht="15.75" customHeight="1">
      <c r="A795" s="53"/>
      <c r="B795" s="53"/>
      <c r="C795" s="53"/>
      <c r="D795" s="53"/>
      <c r="E795" s="53"/>
      <c r="F795" s="53"/>
    </row>
    <row r="796" ht="15.75" customHeight="1">
      <c r="A796" s="53"/>
      <c r="B796" s="53"/>
      <c r="C796" s="53"/>
      <c r="D796" s="53"/>
      <c r="E796" s="53"/>
      <c r="F796" s="53"/>
    </row>
    <row r="797" ht="15.75" customHeight="1">
      <c r="A797" s="53"/>
      <c r="B797" s="53"/>
      <c r="C797" s="53"/>
      <c r="D797" s="53"/>
      <c r="E797" s="53"/>
      <c r="F797" s="53"/>
    </row>
    <row r="798" ht="15.75" customHeight="1">
      <c r="A798" s="53"/>
      <c r="B798" s="53"/>
      <c r="C798" s="53"/>
      <c r="D798" s="53"/>
      <c r="E798" s="53"/>
      <c r="F798" s="53"/>
    </row>
    <row r="799" ht="15.75" customHeight="1">
      <c r="A799" s="53"/>
      <c r="B799" s="53"/>
      <c r="C799" s="53"/>
      <c r="D799" s="53"/>
      <c r="E799" s="53"/>
      <c r="F799" s="53"/>
    </row>
    <row r="800" ht="15.75" customHeight="1">
      <c r="A800" s="53"/>
      <c r="B800" s="53"/>
      <c r="C800" s="53"/>
      <c r="D800" s="53"/>
      <c r="E800" s="53"/>
      <c r="F800" s="53"/>
    </row>
    <row r="801" ht="15.75" customHeight="1">
      <c r="A801" s="53"/>
      <c r="B801" s="53"/>
      <c r="C801" s="53"/>
      <c r="D801" s="53"/>
      <c r="E801" s="53"/>
      <c r="F801" s="53"/>
    </row>
    <row r="802" ht="15.75" customHeight="1">
      <c r="A802" s="53"/>
      <c r="B802" s="53"/>
      <c r="C802" s="53"/>
      <c r="D802" s="53"/>
      <c r="E802" s="53"/>
      <c r="F802" s="53"/>
    </row>
    <row r="803" ht="15.75" customHeight="1">
      <c r="A803" s="53"/>
      <c r="B803" s="53"/>
      <c r="C803" s="53"/>
      <c r="D803" s="53"/>
      <c r="E803" s="53"/>
      <c r="F803" s="53"/>
    </row>
    <row r="804" ht="15.75" customHeight="1">
      <c r="A804" s="53"/>
      <c r="B804" s="53"/>
      <c r="C804" s="53"/>
      <c r="D804" s="53"/>
      <c r="E804" s="53"/>
      <c r="F804" s="53"/>
    </row>
    <row r="805" ht="15.75" customHeight="1">
      <c r="A805" s="53"/>
      <c r="B805" s="53"/>
      <c r="C805" s="53"/>
      <c r="D805" s="53"/>
      <c r="E805" s="53"/>
      <c r="F805" s="53"/>
    </row>
    <row r="806" ht="15.75" customHeight="1">
      <c r="A806" s="53"/>
      <c r="B806" s="53"/>
      <c r="C806" s="53"/>
      <c r="D806" s="53"/>
      <c r="E806" s="53"/>
      <c r="F806" s="53"/>
    </row>
    <row r="807" ht="15.75" customHeight="1">
      <c r="A807" s="53"/>
      <c r="B807" s="53"/>
      <c r="C807" s="53"/>
      <c r="D807" s="53"/>
      <c r="E807" s="53"/>
      <c r="F807" s="53"/>
    </row>
    <row r="808" ht="15.75" customHeight="1">
      <c r="A808" s="53"/>
      <c r="B808" s="53"/>
      <c r="C808" s="53"/>
      <c r="D808" s="53"/>
      <c r="E808" s="53"/>
      <c r="F808" s="53"/>
    </row>
    <row r="809" ht="15.75" customHeight="1">
      <c r="A809" s="53"/>
      <c r="B809" s="53"/>
      <c r="C809" s="53"/>
      <c r="D809" s="53"/>
      <c r="E809" s="53"/>
      <c r="F809" s="53"/>
    </row>
    <row r="810" ht="15.75" customHeight="1">
      <c r="A810" s="53"/>
      <c r="B810" s="53"/>
      <c r="C810" s="53"/>
      <c r="D810" s="53"/>
      <c r="E810" s="53"/>
      <c r="F810" s="53"/>
    </row>
    <row r="811" ht="15.75" customHeight="1">
      <c r="A811" s="53"/>
      <c r="B811" s="53"/>
      <c r="C811" s="53"/>
      <c r="D811" s="53"/>
      <c r="E811" s="53"/>
      <c r="F811" s="53"/>
    </row>
    <row r="812" ht="15.75" customHeight="1">
      <c r="A812" s="53"/>
      <c r="B812" s="53"/>
      <c r="C812" s="53"/>
      <c r="D812" s="53"/>
      <c r="E812" s="53"/>
      <c r="F812" s="53"/>
    </row>
    <row r="813" ht="15.75" customHeight="1">
      <c r="A813" s="53"/>
      <c r="B813" s="53"/>
      <c r="C813" s="53"/>
      <c r="D813" s="53"/>
      <c r="E813" s="53"/>
      <c r="F813" s="53"/>
    </row>
    <row r="814" ht="15.75" customHeight="1">
      <c r="A814" s="53"/>
      <c r="B814" s="53"/>
      <c r="C814" s="53"/>
      <c r="D814" s="53"/>
      <c r="E814" s="53"/>
      <c r="F814" s="53"/>
    </row>
    <row r="815" ht="15.75" customHeight="1">
      <c r="A815" s="53"/>
      <c r="B815" s="53"/>
      <c r="C815" s="53"/>
      <c r="D815" s="53"/>
      <c r="E815" s="53"/>
      <c r="F815" s="53"/>
    </row>
    <row r="816" ht="15.75" customHeight="1">
      <c r="A816" s="53"/>
      <c r="B816" s="53"/>
      <c r="C816" s="53"/>
      <c r="D816" s="53"/>
      <c r="E816" s="53"/>
      <c r="F816" s="53"/>
    </row>
    <row r="817" ht="15.75" customHeight="1">
      <c r="A817" s="53"/>
      <c r="B817" s="53"/>
      <c r="C817" s="53"/>
      <c r="D817" s="53"/>
      <c r="E817" s="53"/>
      <c r="F817" s="53"/>
    </row>
    <row r="818" ht="15.75" customHeight="1">
      <c r="A818" s="53"/>
      <c r="B818" s="53"/>
      <c r="C818" s="53"/>
      <c r="D818" s="53"/>
      <c r="E818" s="53"/>
      <c r="F818" s="53"/>
    </row>
    <row r="819" ht="15.75" customHeight="1">
      <c r="A819" s="53"/>
      <c r="B819" s="53"/>
      <c r="C819" s="53"/>
      <c r="D819" s="53"/>
      <c r="E819" s="53"/>
      <c r="F819" s="53"/>
    </row>
    <row r="820" ht="15.75" customHeight="1">
      <c r="A820" s="53"/>
      <c r="B820" s="53"/>
      <c r="C820" s="53"/>
      <c r="D820" s="53"/>
      <c r="E820" s="53"/>
      <c r="F820" s="53"/>
    </row>
    <row r="821" ht="15.75" customHeight="1">
      <c r="A821" s="53"/>
      <c r="B821" s="53"/>
      <c r="C821" s="53"/>
      <c r="D821" s="53"/>
      <c r="E821" s="53"/>
      <c r="F821" s="53"/>
    </row>
    <row r="822" ht="15.75" customHeight="1">
      <c r="A822" s="53"/>
      <c r="B822" s="53"/>
      <c r="C822" s="53"/>
      <c r="D822" s="53"/>
      <c r="E822" s="53"/>
      <c r="F822" s="53"/>
    </row>
    <row r="823" ht="15.75" customHeight="1">
      <c r="A823" s="53"/>
      <c r="B823" s="53"/>
      <c r="C823" s="53"/>
      <c r="D823" s="53"/>
      <c r="E823" s="53"/>
      <c r="F823" s="53"/>
    </row>
    <row r="824" ht="15.75" customHeight="1">
      <c r="A824" s="53"/>
      <c r="B824" s="53"/>
      <c r="C824" s="53"/>
      <c r="D824" s="53"/>
      <c r="E824" s="53"/>
      <c r="F824" s="53"/>
    </row>
    <row r="825" ht="15.75" customHeight="1">
      <c r="A825" s="53"/>
      <c r="B825" s="53"/>
      <c r="C825" s="53"/>
      <c r="D825" s="53"/>
      <c r="E825" s="53"/>
      <c r="F825" s="53"/>
    </row>
    <row r="826" ht="15.75" customHeight="1">
      <c r="A826" s="53"/>
      <c r="B826" s="53"/>
      <c r="C826" s="53"/>
      <c r="D826" s="53"/>
      <c r="E826" s="53"/>
      <c r="F826" s="53"/>
    </row>
    <row r="827" ht="15.75" customHeight="1">
      <c r="A827" s="53"/>
      <c r="B827" s="53"/>
      <c r="C827" s="53"/>
      <c r="D827" s="53"/>
      <c r="E827" s="53"/>
      <c r="F827" s="53"/>
    </row>
    <row r="828" ht="15.75" customHeight="1">
      <c r="A828" s="53"/>
      <c r="B828" s="53"/>
      <c r="C828" s="53"/>
      <c r="D828" s="53"/>
      <c r="E828" s="53"/>
      <c r="F828" s="53"/>
    </row>
    <row r="829" ht="15.75" customHeight="1">
      <c r="A829" s="53"/>
      <c r="B829" s="53"/>
      <c r="C829" s="53"/>
      <c r="D829" s="53"/>
      <c r="E829" s="53"/>
      <c r="F829" s="53"/>
    </row>
    <row r="830" ht="15.75" customHeight="1">
      <c r="A830" s="53"/>
      <c r="B830" s="53"/>
      <c r="C830" s="53"/>
      <c r="D830" s="53"/>
      <c r="E830" s="53"/>
      <c r="F830" s="53"/>
    </row>
    <row r="831" ht="15.75" customHeight="1">
      <c r="A831" s="53"/>
      <c r="B831" s="53"/>
      <c r="C831" s="53"/>
      <c r="D831" s="53"/>
      <c r="E831" s="53"/>
      <c r="F831" s="53"/>
    </row>
    <row r="832" ht="15.75" customHeight="1">
      <c r="A832" s="53"/>
      <c r="B832" s="53"/>
      <c r="C832" s="53"/>
      <c r="D832" s="53"/>
      <c r="E832" s="53"/>
      <c r="F832" s="53"/>
    </row>
    <row r="833" ht="15.75" customHeight="1">
      <c r="A833" s="53"/>
      <c r="B833" s="53"/>
      <c r="C833" s="53"/>
      <c r="D833" s="53"/>
      <c r="E833" s="53"/>
      <c r="F833" s="53"/>
    </row>
    <row r="834" ht="15.75" customHeight="1">
      <c r="A834" s="53"/>
      <c r="B834" s="53"/>
      <c r="C834" s="53"/>
      <c r="D834" s="53"/>
      <c r="E834" s="53"/>
      <c r="F834" s="53"/>
    </row>
    <row r="835" ht="15.75" customHeight="1">
      <c r="A835" s="53"/>
      <c r="B835" s="53"/>
      <c r="C835" s="53"/>
      <c r="D835" s="53"/>
      <c r="E835" s="53"/>
      <c r="F835" s="53"/>
    </row>
    <row r="836" ht="15.75" customHeight="1">
      <c r="A836" s="53"/>
      <c r="B836" s="53"/>
      <c r="C836" s="53"/>
      <c r="D836" s="53"/>
      <c r="E836" s="53"/>
      <c r="F836" s="53"/>
    </row>
    <row r="837" ht="15.75" customHeight="1">
      <c r="A837" s="53"/>
      <c r="B837" s="53"/>
      <c r="C837" s="53"/>
      <c r="D837" s="53"/>
      <c r="E837" s="53"/>
      <c r="F837" s="53"/>
    </row>
    <row r="838" ht="15.75" customHeight="1">
      <c r="A838" s="53"/>
      <c r="B838" s="53"/>
      <c r="C838" s="53"/>
      <c r="D838" s="53"/>
      <c r="E838" s="53"/>
      <c r="F838" s="53"/>
    </row>
    <row r="839" ht="15.75" customHeight="1">
      <c r="A839" s="53"/>
      <c r="B839" s="53"/>
      <c r="C839" s="53"/>
      <c r="D839" s="53"/>
      <c r="E839" s="53"/>
      <c r="F839" s="53"/>
    </row>
    <row r="840" ht="15.75" customHeight="1">
      <c r="A840" s="53"/>
      <c r="B840" s="53"/>
      <c r="C840" s="53"/>
      <c r="D840" s="53"/>
      <c r="E840" s="53"/>
      <c r="F840" s="53"/>
    </row>
    <row r="841" ht="15.75" customHeight="1">
      <c r="A841" s="53"/>
      <c r="B841" s="53"/>
      <c r="C841" s="53"/>
      <c r="D841" s="53"/>
      <c r="E841" s="53"/>
      <c r="F841" s="53"/>
    </row>
    <row r="842" ht="15.75" customHeight="1">
      <c r="A842" s="53"/>
      <c r="B842" s="53"/>
      <c r="C842" s="53"/>
      <c r="D842" s="53"/>
      <c r="E842" s="53"/>
      <c r="F842" s="53"/>
    </row>
    <row r="843" ht="15.75" customHeight="1">
      <c r="A843" s="53"/>
      <c r="B843" s="53"/>
      <c r="C843" s="53"/>
      <c r="D843" s="53"/>
      <c r="E843" s="53"/>
      <c r="F843" s="53"/>
    </row>
    <row r="844" ht="15.75" customHeight="1">
      <c r="A844" s="53"/>
      <c r="B844" s="53"/>
      <c r="C844" s="53"/>
      <c r="D844" s="53"/>
      <c r="E844" s="53"/>
      <c r="F844" s="53"/>
    </row>
    <row r="845" ht="15.75" customHeight="1">
      <c r="A845" s="53"/>
      <c r="B845" s="53"/>
      <c r="C845" s="53"/>
      <c r="D845" s="53"/>
      <c r="E845" s="53"/>
      <c r="F845" s="53"/>
    </row>
    <row r="846" ht="15.75" customHeight="1">
      <c r="A846" s="53"/>
      <c r="B846" s="53"/>
      <c r="C846" s="53"/>
      <c r="D846" s="53"/>
      <c r="E846" s="53"/>
      <c r="F846" s="53"/>
    </row>
    <row r="847" ht="15.75" customHeight="1">
      <c r="A847" s="53"/>
      <c r="B847" s="53"/>
      <c r="C847" s="53"/>
      <c r="D847" s="53"/>
      <c r="E847" s="53"/>
      <c r="F847" s="53"/>
    </row>
    <row r="848" ht="15.75" customHeight="1">
      <c r="A848" s="53"/>
      <c r="B848" s="53"/>
      <c r="C848" s="53"/>
      <c r="D848" s="53"/>
      <c r="E848" s="53"/>
      <c r="F848" s="53"/>
    </row>
    <row r="849" ht="15.75" customHeight="1">
      <c r="A849" s="53"/>
      <c r="B849" s="53"/>
      <c r="C849" s="53"/>
      <c r="D849" s="53"/>
      <c r="E849" s="53"/>
      <c r="F849" s="53"/>
    </row>
    <row r="850" ht="15.75" customHeight="1">
      <c r="A850" s="53"/>
      <c r="B850" s="53"/>
      <c r="C850" s="53"/>
      <c r="D850" s="53"/>
      <c r="E850" s="53"/>
      <c r="F850" s="53"/>
    </row>
    <row r="851" ht="15.75" customHeight="1">
      <c r="A851" s="53"/>
      <c r="B851" s="53"/>
      <c r="C851" s="53"/>
      <c r="D851" s="53"/>
      <c r="E851" s="53"/>
      <c r="F851" s="53"/>
    </row>
    <row r="852" ht="15.75" customHeight="1">
      <c r="A852" s="53"/>
      <c r="B852" s="53"/>
      <c r="C852" s="53"/>
      <c r="D852" s="53"/>
      <c r="E852" s="53"/>
      <c r="F852" s="53"/>
    </row>
    <row r="853" ht="15.75" customHeight="1">
      <c r="A853" s="53"/>
      <c r="B853" s="53"/>
      <c r="C853" s="53"/>
      <c r="D853" s="53"/>
      <c r="E853" s="53"/>
      <c r="F853" s="53"/>
    </row>
    <row r="854" ht="15.75" customHeight="1">
      <c r="A854" s="53"/>
      <c r="B854" s="53"/>
      <c r="C854" s="53"/>
      <c r="D854" s="53"/>
      <c r="E854" s="53"/>
      <c r="F854" s="53"/>
    </row>
    <row r="855" ht="15.75" customHeight="1">
      <c r="A855" s="53"/>
      <c r="B855" s="53"/>
      <c r="C855" s="53"/>
      <c r="D855" s="53"/>
      <c r="E855" s="53"/>
      <c r="F855" s="53"/>
    </row>
    <row r="856" ht="15.75" customHeight="1">
      <c r="A856" s="53"/>
      <c r="B856" s="53"/>
      <c r="C856" s="53"/>
      <c r="D856" s="53"/>
      <c r="E856" s="53"/>
      <c r="F856" s="53"/>
    </row>
    <row r="857" ht="15.75" customHeight="1">
      <c r="A857" s="53"/>
      <c r="B857" s="53"/>
      <c r="C857" s="53"/>
      <c r="D857" s="53"/>
      <c r="E857" s="53"/>
      <c r="F857" s="53"/>
    </row>
    <row r="858" ht="15.75" customHeight="1">
      <c r="A858" s="53"/>
      <c r="B858" s="53"/>
      <c r="C858" s="53"/>
      <c r="D858" s="53"/>
      <c r="E858" s="53"/>
      <c r="F858" s="53"/>
    </row>
    <row r="859" ht="15.75" customHeight="1">
      <c r="A859" s="53"/>
      <c r="B859" s="53"/>
      <c r="C859" s="53"/>
      <c r="D859" s="53"/>
      <c r="E859" s="53"/>
      <c r="F859" s="53"/>
    </row>
    <row r="860" ht="15.75" customHeight="1">
      <c r="A860" s="53"/>
      <c r="B860" s="53"/>
      <c r="C860" s="53"/>
      <c r="D860" s="53"/>
      <c r="E860" s="53"/>
      <c r="F860" s="53"/>
    </row>
    <row r="861" ht="15.75" customHeight="1">
      <c r="A861" s="53"/>
      <c r="B861" s="53"/>
      <c r="C861" s="53"/>
      <c r="D861" s="53"/>
      <c r="E861" s="53"/>
      <c r="F861" s="53"/>
    </row>
    <row r="862" ht="15.75" customHeight="1">
      <c r="A862" s="53"/>
      <c r="B862" s="53"/>
      <c r="C862" s="53"/>
      <c r="D862" s="53"/>
      <c r="E862" s="53"/>
      <c r="F862" s="53"/>
    </row>
    <row r="863" ht="15.75" customHeight="1">
      <c r="A863" s="53"/>
      <c r="B863" s="53"/>
      <c r="C863" s="53"/>
      <c r="D863" s="53"/>
      <c r="E863" s="53"/>
      <c r="F863" s="53"/>
    </row>
    <row r="864" ht="15.75" customHeight="1">
      <c r="A864" s="53"/>
      <c r="B864" s="53"/>
      <c r="C864" s="53"/>
      <c r="D864" s="53"/>
      <c r="E864" s="53"/>
      <c r="F864" s="53"/>
    </row>
    <row r="865" ht="15.75" customHeight="1">
      <c r="A865" s="53"/>
      <c r="B865" s="53"/>
      <c r="C865" s="53"/>
      <c r="D865" s="53"/>
      <c r="E865" s="53"/>
      <c r="F865" s="53"/>
    </row>
    <row r="866" ht="15.75" customHeight="1">
      <c r="A866" s="53"/>
      <c r="B866" s="53"/>
      <c r="C866" s="53"/>
      <c r="D866" s="53"/>
      <c r="E866" s="53"/>
      <c r="F866" s="53"/>
    </row>
    <row r="867" ht="15.75" customHeight="1">
      <c r="A867" s="53"/>
      <c r="B867" s="53"/>
      <c r="C867" s="53"/>
      <c r="D867" s="53"/>
      <c r="E867" s="53"/>
      <c r="F867" s="53"/>
    </row>
    <row r="868" ht="15.75" customHeight="1">
      <c r="A868" s="53"/>
      <c r="B868" s="53"/>
      <c r="C868" s="53"/>
      <c r="D868" s="53"/>
      <c r="E868" s="53"/>
      <c r="F868" s="53"/>
    </row>
    <row r="869" ht="15.75" customHeight="1">
      <c r="A869" s="53"/>
      <c r="B869" s="53"/>
      <c r="C869" s="53"/>
      <c r="D869" s="53"/>
      <c r="E869" s="53"/>
      <c r="F869" s="53"/>
    </row>
    <row r="870" ht="15.75" customHeight="1">
      <c r="A870" s="53"/>
      <c r="B870" s="53"/>
      <c r="C870" s="53"/>
      <c r="D870" s="53"/>
      <c r="E870" s="53"/>
      <c r="F870" s="53"/>
    </row>
    <row r="871" ht="15.75" customHeight="1">
      <c r="A871" s="53"/>
      <c r="B871" s="53"/>
      <c r="C871" s="53"/>
      <c r="D871" s="53"/>
      <c r="E871" s="53"/>
      <c r="F871" s="53"/>
    </row>
    <row r="872" ht="15.75" customHeight="1">
      <c r="A872" s="53"/>
      <c r="B872" s="53"/>
      <c r="C872" s="53"/>
      <c r="D872" s="53"/>
      <c r="E872" s="53"/>
      <c r="F872" s="53"/>
    </row>
    <row r="873" ht="15.75" customHeight="1">
      <c r="A873" s="53"/>
      <c r="B873" s="53"/>
      <c r="C873" s="53"/>
      <c r="D873" s="53"/>
      <c r="E873" s="53"/>
      <c r="F873" s="53"/>
    </row>
    <row r="874" ht="15.75" customHeight="1">
      <c r="A874" s="53"/>
      <c r="B874" s="53"/>
      <c r="C874" s="53"/>
      <c r="D874" s="53"/>
      <c r="E874" s="53"/>
      <c r="F874" s="53"/>
    </row>
    <row r="875" ht="15.75" customHeight="1">
      <c r="A875" s="53"/>
      <c r="B875" s="53"/>
      <c r="C875" s="53"/>
      <c r="D875" s="53"/>
      <c r="E875" s="53"/>
      <c r="F875" s="53"/>
    </row>
    <row r="876" ht="15.75" customHeight="1">
      <c r="A876" s="53"/>
      <c r="B876" s="53"/>
      <c r="C876" s="53"/>
      <c r="D876" s="53"/>
      <c r="E876" s="53"/>
      <c r="F876" s="53"/>
    </row>
    <row r="877" ht="15.75" customHeight="1">
      <c r="A877" s="53"/>
      <c r="B877" s="53"/>
      <c r="C877" s="53"/>
      <c r="D877" s="53"/>
      <c r="E877" s="53"/>
      <c r="F877" s="53"/>
    </row>
    <row r="878" ht="15.75" customHeight="1">
      <c r="A878" s="53"/>
      <c r="B878" s="53"/>
      <c r="C878" s="53"/>
      <c r="D878" s="53"/>
      <c r="E878" s="53"/>
      <c r="F878" s="53"/>
    </row>
    <row r="879" ht="15.75" customHeight="1">
      <c r="A879" s="53"/>
      <c r="B879" s="53"/>
      <c r="C879" s="53"/>
      <c r="D879" s="53"/>
      <c r="E879" s="53"/>
      <c r="F879" s="53"/>
    </row>
    <row r="880" ht="15.75" customHeight="1">
      <c r="A880" s="53"/>
      <c r="B880" s="53"/>
      <c r="C880" s="53"/>
      <c r="D880" s="53"/>
      <c r="E880" s="53"/>
      <c r="F880" s="53"/>
    </row>
    <row r="881" ht="15.75" customHeight="1">
      <c r="A881" s="53"/>
      <c r="B881" s="53"/>
      <c r="C881" s="53"/>
      <c r="D881" s="53"/>
      <c r="E881" s="53"/>
      <c r="F881" s="53"/>
    </row>
    <row r="882" ht="15.75" customHeight="1">
      <c r="A882" s="53"/>
      <c r="B882" s="53"/>
      <c r="C882" s="53"/>
      <c r="D882" s="53"/>
      <c r="E882" s="53"/>
      <c r="F882" s="53"/>
    </row>
    <row r="883" ht="15.75" customHeight="1">
      <c r="A883" s="53"/>
      <c r="B883" s="53"/>
      <c r="C883" s="53"/>
      <c r="D883" s="53"/>
      <c r="E883" s="53"/>
      <c r="F883" s="53"/>
    </row>
    <row r="884" ht="15.75" customHeight="1">
      <c r="A884" s="53"/>
      <c r="B884" s="53"/>
      <c r="C884" s="53"/>
      <c r="D884" s="53"/>
      <c r="E884" s="53"/>
      <c r="F884" s="53"/>
    </row>
    <row r="885" ht="15.75" customHeight="1">
      <c r="A885" s="53"/>
      <c r="B885" s="53"/>
      <c r="C885" s="53"/>
      <c r="D885" s="53"/>
      <c r="E885" s="53"/>
      <c r="F885" s="53"/>
    </row>
    <row r="886" ht="15.75" customHeight="1">
      <c r="A886" s="53"/>
      <c r="B886" s="53"/>
      <c r="C886" s="53"/>
      <c r="D886" s="53"/>
      <c r="E886" s="53"/>
      <c r="F886" s="53"/>
    </row>
    <row r="887" ht="15.75" customHeight="1">
      <c r="A887" s="53"/>
      <c r="B887" s="53"/>
      <c r="C887" s="53"/>
      <c r="D887" s="53"/>
      <c r="E887" s="53"/>
      <c r="F887" s="53"/>
    </row>
    <row r="888" ht="15.75" customHeight="1">
      <c r="A888" s="53"/>
      <c r="B888" s="53"/>
      <c r="C888" s="53"/>
      <c r="D888" s="53"/>
      <c r="E888" s="53"/>
      <c r="F888" s="53"/>
    </row>
    <row r="889" ht="15.75" customHeight="1">
      <c r="A889" s="53"/>
      <c r="B889" s="53"/>
      <c r="C889" s="53"/>
      <c r="D889" s="53"/>
      <c r="E889" s="53"/>
      <c r="F889" s="53"/>
    </row>
    <row r="890" ht="15.75" customHeight="1">
      <c r="A890" s="53"/>
      <c r="B890" s="53"/>
      <c r="C890" s="53"/>
      <c r="D890" s="53"/>
      <c r="E890" s="53"/>
      <c r="F890" s="53"/>
    </row>
    <row r="891" ht="15.75" customHeight="1">
      <c r="A891" s="53"/>
      <c r="B891" s="53"/>
      <c r="C891" s="53"/>
      <c r="D891" s="53"/>
      <c r="E891" s="53"/>
      <c r="F891" s="53"/>
    </row>
    <row r="892" ht="15.75" customHeight="1">
      <c r="A892" s="53"/>
      <c r="B892" s="53"/>
      <c r="C892" s="53"/>
      <c r="D892" s="53"/>
      <c r="E892" s="53"/>
      <c r="F892" s="53"/>
    </row>
    <row r="893" ht="15.75" customHeight="1">
      <c r="A893" s="53"/>
      <c r="B893" s="53"/>
      <c r="C893" s="53"/>
      <c r="D893" s="53"/>
      <c r="E893" s="53"/>
      <c r="F893" s="53"/>
    </row>
    <row r="894" ht="15.75" customHeight="1">
      <c r="A894" s="53"/>
      <c r="B894" s="53"/>
      <c r="C894" s="53"/>
      <c r="D894" s="53"/>
      <c r="E894" s="53"/>
      <c r="F894" s="53"/>
    </row>
    <row r="895" ht="15.75" customHeight="1">
      <c r="A895" s="53"/>
      <c r="B895" s="53"/>
      <c r="C895" s="53"/>
      <c r="D895" s="53"/>
      <c r="E895" s="53"/>
      <c r="F895" s="53"/>
    </row>
    <row r="896" ht="15.75" customHeight="1">
      <c r="A896" s="53"/>
      <c r="B896" s="53"/>
      <c r="C896" s="53"/>
      <c r="D896" s="53"/>
      <c r="E896" s="53"/>
      <c r="F896" s="53"/>
    </row>
    <row r="897" ht="15.75" customHeight="1">
      <c r="A897" s="53"/>
      <c r="B897" s="53"/>
      <c r="C897" s="53"/>
      <c r="D897" s="53"/>
      <c r="E897" s="53"/>
      <c r="F897" s="53"/>
    </row>
    <row r="898" ht="15.75" customHeight="1">
      <c r="A898" s="53"/>
      <c r="B898" s="53"/>
      <c r="C898" s="53"/>
      <c r="D898" s="53"/>
      <c r="E898" s="53"/>
      <c r="F898" s="53"/>
    </row>
    <row r="899" ht="15.75" customHeight="1">
      <c r="A899" s="53"/>
      <c r="B899" s="53"/>
      <c r="C899" s="53"/>
      <c r="D899" s="53"/>
      <c r="E899" s="53"/>
      <c r="F899" s="53"/>
    </row>
    <row r="900" ht="15.75" customHeight="1">
      <c r="A900" s="53"/>
      <c r="B900" s="53"/>
      <c r="C900" s="53"/>
      <c r="D900" s="53"/>
      <c r="E900" s="53"/>
      <c r="F900" s="53"/>
    </row>
    <row r="901" ht="15.75" customHeight="1">
      <c r="A901" s="53"/>
      <c r="B901" s="53"/>
      <c r="C901" s="53"/>
      <c r="D901" s="53"/>
      <c r="E901" s="53"/>
      <c r="F901" s="53"/>
    </row>
    <row r="902" ht="15.75" customHeight="1">
      <c r="A902" s="53"/>
      <c r="B902" s="53"/>
      <c r="C902" s="53"/>
      <c r="D902" s="53"/>
      <c r="E902" s="53"/>
      <c r="F902" s="53"/>
    </row>
    <row r="903" ht="15.75" customHeight="1">
      <c r="A903" s="53"/>
      <c r="B903" s="53"/>
      <c r="C903" s="53"/>
      <c r="D903" s="53"/>
      <c r="E903" s="53"/>
      <c r="F903" s="53"/>
    </row>
    <row r="904" ht="15.75" customHeight="1">
      <c r="A904" s="53"/>
      <c r="B904" s="53"/>
      <c r="C904" s="53"/>
      <c r="D904" s="53"/>
      <c r="E904" s="53"/>
      <c r="F904" s="53"/>
    </row>
    <row r="905" ht="15.75" customHeight="1">
      <c r="A905" s="53"/>
      <c r="B905" s="53"/>
      <c r="C905" s="53"/>
      <c r="D905" s="53"/>
      <c r="E905" s="53"/>
      <c r="F905" s="53"/>
    </row>
    <row r="906" ht="15.75" customHeight="1">
      <c r="A906" s="53"/>
      <c r="B906" s="53"/>
      <c r="C906" s="53"/>
      <c r="D906" s="53"/>
      <c r="E906" s="53"/>
      <c r="F906" s="53"/>
    </row>
    <row r="907" ht="15.75" customHeight="1">
      <c r="A907" s="53"/>
      <c r="B907" s="53"/>
      <c r="C907" s="53"/>
      <c r="D907" s="53"/>
      <c r="E907" s="53"/>
      <c r="F907" s="53"/>
    </row>
    <row r="908" ht="15.75" customHeight="1">
      <c r="A908" s="53"/>
      <c r="B908" s="53"/>
      <c r="C908" s="53"/>
      <c r="D908" s="53"/>
      <c r="E908" s="53"/>
      <c r="F908" s="53"/>
    </row>
    <row r="909" ht="15.75" customHeight="1">
      <c r="A909" s="53"/>
      <c r="B909" s="53"/>
      <c r="C909" s="53"/>
      <c r="D909" s="53"/>
      <c r="E909" s="53"/>
      <c r="F909" s="53"/>
    </row>
    <row r="910" ht="15.75" customHeight="1">
      <c r="A910" s="53"/>
      <c r="B910" s="53"/>
      <c r="C910" s="53"/>
      <c r="D910" s="53"/>
      <c r="E910" s="53"/>
      <c r="F910" s="53"/>
    </row>
    <row r="911" ht="15.75" customHeight="1">
      <c r="A911" s="53"/>
      <c r="B911" s="53"/>
      <c r="C911" s="53"/>
      <c r="D911" s="53"/>
      <c r="E911" s="53"/>
      <c r="F911" s="53"/>
    </row>
    <row r="912" ht="15.75" customHeight="1">
      <c r="A912" s="53"/>
      <c r="B912" s="53"/>
      <c r="C912" s="53"/>
      <c r="D912" s="53"/>
      <c r="E912" s="53"/>
      <c r="F912" s="53"/>
    </row>
    <row r="913" ht="15.75" customHeight="1">
      <c r="A913" s="53"/>
      <c r="B913" s="53"/>
      <c r="C913" s="53"/>
      <c r="D913" s="53"/>
      <c r="E913" s="53"/>
      <c r="F913" s="53"/>
    </row>
    <row r="914" ht="15.75" customHeight="1">
      <c r="A914" s="53"/>
      <c r="B914" s="53"/>
      <c r="C914" s="53"/>
      <c r="D914" s="53"/>
      <c r="E914" s="53"/>
      <c r="F914" s="53"/>
    </row>
    <row r="915" ht="15.75" customHeight="1">
      <c r="A915" s="53"/>
      <c r="B915" s="53"/>
      <c r="C915" s="53"/>
      <c r="D915" s="53"/>
      <c r="E915" s="53"/>
      <c r="F915" s="53"/>
    </row>
    <row r="916" ht="15.75" customHeight="1">
      <c r="A916" s="53"/>
      <c r="B916" s="53"/>
      <c r="C916" s="53"/>
      <c r="D916" s="53"/>
      <c r="E916" s="53"/>
      <c r="F916" s="53"/>
    </row>
    <row r="917" ht="15.75" customHeight="1">
      <c r="A917" s="53"/>
      <c r="B917" s="53"/>
      <c r="C917" s="53"/>
      <c r="D917" s="53"/>
      <c r="E917" s="53"/>
      <c r="F917" s="53"/>
    </row>
    <row r="918" ht="15.75" customHeight="1">
      <c r="A918" s="53"/>
      <c r="B918" s="53"/>
      <c r="C918" s="53"/>
      <c r="D918" s="53"/>
      <c r="E918" s="53"/>
      <c r="F918" s="53"/>
    </row>
    <row r="919" ht="15.75" customHeight="1">
      <c r="A919" s="53"/>
      <c r="B919" s="53"/>
      <c r="C919" s="53"/>
      <c r="D919" s="53"/>
      <c r="E919" s="53"/>
      <c r="F919" s="53"/>
    </row>
    <row r="920" ht="15.75" customHeight="1">
      <c r="A920" s="53"/>
      <c r="B920" s="53"/>
      <c r="C920" s="53"/>
      <c r="D920" s="53"/>
      <c r="E920" s="53"/>
      <c r="F920" s="53"/>
    </row>
    <row r="921" ht="15.75" customHeight="1">
      <c r="A921" s="53"/>
      <c r="B921" s="53"/>
      <c r="C921" s="53"/>
      <c r="D921" s="53"/>
      <c r="E921" s="53"/>
      <c r="F921" s="53"/>
    </row>
    <row r="922" ht="15.75" customHeight="1">
      <c r="A922" s="53"/>
      <c r="B922" s="53"/>
      <c r="C922" s="53"/>
      <c r="D922" s="53"/>
      <c r="E922" s="53"/>
      <c r="F922" s="53"/>
    </row>
    <row r="923" ht="15.75" customHeight="1">
      <c r="A923" s="53"/>
      <c r="B923" s="53"/>
      <c r="C923" s="53"/>
      <c r="D923" s="53"/>
      <c r="E923" s="53"/>
      <c r="F923" s="53"/>
    </row>
    <row r="924" ht="15.75" customHeight="1">
      <c r="A924" s="53"/>
      <c r="B924" s="53"/>
      <c r="C924" s="53"/>
      <c r="D924" s="53"/>
      <c r="E924" s="53"/>
      <c r="F924" s="53"/>
    </row>
    <row r="925" ht="15.75" customHeight="1">
      <c r="A925" s="53"/>
      <c r="B925" s="53"/>
      <c r="C925" s="53"/>
      <c r="D925" s="53"/>
      <c r="E925" s="53"/>
      <c r="F925" s="53"/>
    </row>
    <row r="926" ht="15.75" customHeight="1">
      <c r="A926" s="53"/>
      <c r="B926" s="53"/>
      <c r="C926" s="53"/>
      <c r="D926" s="53"/>
      <c r="E926" s="53"/>
      <c r="F926" s="53"/>
    </row>
    <row r="927" ht="15.75" customHeight="1">
      <c r="A927" s="53"/>
      <c r="B927" s="53"/>
      <c r="C927" s="53"/>
      <c r="D927" s="53"/>
      <c r="E927" s="53"/>
      <c r="F927" s="53"/>
    </row>
    <row r="928" ht="15.75" customHeight="1">
      <c r="A928" s="53"/>
      <c r="B928" s="53"/>
      <c r="C928" s="53"/>
      <c r="D928" s="53"/>
      <c r="E928" s="53"/>
      <c r="F928" s="53"/>
    </row>
    <row r="929" ht="15.75" customHeight="1">
      <c r="A929" s="53"/>
      <c r="B929" s="53"/>
      <c r="C929" s="53"/>
      <c r="D929" s="53"/>
      <c r="E929" s="53"/>
      <c r="F929" s="53"/>
    </row>
    <row r="930" ht="15.75" customHeight="1">
      <c r="A930" s="53"/>
      <c r="B930" s="53"/>
      <c r="C930" s="53"/>
      <c r="D930" s="53"/>
      <c r="E930" s="53"/>
      <c r="F930" s="53"/>
    </row>
    <row r="931" ht="15.75" customHeight="1">
      <c r="A931" s="53"/>
      <c r="B931" s="53"/>
      <c r="C931" s="53"/>
      <c r="D931" s="53"/>
      <c r="E931" s="53"/>
      <c r="F931" s="53"/>
    </row>
    <row r="932" ht="15.75" customHeight="1">
      <c r="A932" s="53"/>
      <c r="B932" s="53"/>
      <c r="C932" s="53"/>
      <c r="D932" s="53"/>
      <c r="E932" s="53"/>
      <c r="F932" s="53"/>
    </row>
    <row r="933" ht="15.75" customHeight="1">
      <c r="A933" s="53"/>
      <c r="B933" s="53"/>
      <c r="C933" s="53"/>
      <c r="D933" s="53"/>
      <c r="E933" s="53"/>
      <c r="F933" s="53"/>
    </row>
    <row r="934" ht="15.75" customHeight="1">
      <c r="A934" s="53"/>
      <c r="B934" s="53"/>
      <c r="C934" s="53"/>
      <c r="D934" s="53"/>
      <c r="E934" s="53"/>
      <c r="F934" s="53"/>
    </row>
    <row r="935" ht="15.75" customHeight="1">
      <c r="A935" s="53"/>
      <c r="B935" s="53"/>
      <c r="C935" s="53"/>
      <c r="D935" s="53"/>
      <c r="E935" s="53"/>
      <c r="F935" s="53"/>
    </row>
    <row r="936" ht="15.75" customHeight="1">
      <c r="A936" s="53"/>
      <c r="B936" s="53"/>
      <c r="C936" s="53"/>
      <c r="D936" s="53"/>
      <c r="E936" s="53"/>
      <c r="F936" s="53"/>
    </row>
    <row r="937" ht="15.75" customHeight="1">
      <c r="A937" s="53"/>
      <c r="B937" s="53"/>
      <c r="C937" s="53"/>
      <c r="D937" s="53"/>
      <c r="E937" s="53"/>
      <c r="F937" s="53"/>
    </row>
    <row r="938" ht="15.75" customHeight="1">
      <c r="A938" s="53"/>
      <c r="B938" s="53"/>
      <c r="C938" s="53"/>
      <c r="D938" s="53"/>
      <c r="E938" s="53"/>
      <c r="F938" s="53"/>
    </row>
    <row r="939" ht="15.75" customHeight="1">
      <c r="A939" s="53"/>
      <c r="B939" s="53"/>
      <c r="C939" s="53"/>
      <c r="D939" s="53"/>
      <c r="E939" s="53"/>
      <c r="F939" s="53"/>
    </row>
    <row r="940" ht="15.75" customHeight="1">
      <c r="A940" s="53"/>
      <c r="B940" s="53"/>
      <c r="C940" s="53"/>
      <c r="D940" s="53"/>
      <c r="E940" s="53"/>
      <c r="F940" s="53"/>
    </row>
    <row r="941" ht="15.75" customHeight="1">
      <c r="A941" s="53"/>
      <c r="B941" s="53"/>
      <c r="C941" s="53"/>
      <c r="D941" s="53"/>
      <c r="E941" s="53"/>
      <c r="F941" s="53"/>
    </row>
    <row r="942" ht="15.75" customHeight="1">
      <c r="A942" s="53"/>
      <c r="B942" s="53"/>
      <c r="C942" s="53"/>
      <c r="D942" s="53"/>
      <c r="E942" s="53"/>
      <c r="F942" s="53"/>
    </row>
    <row r="943" ht="15.75" customHeight="1">
      <c r="A943" s="53"/>
      <c r="B943" s="53"/>
      <c r="C943" s="53"/>
      <c r="D943" s="53"/>
      <c r="E943" s="53"/>
      <c r="F943" s="53"/>
    </row>
    <row r="944" ht="15.75" customHeight="1">
      <c r="A944" s="53"/>
      <c r="B944" s="53"/>
      <c r="C944" s="53"/>
      <c r="D944" s="53"/>
      <c r="E944" s="53"/>
      <c r="F944" s="53"/>
    </row>
    <row r="945" ht="15.75" customHeight="1">
      <c r="A945" s="53"/>
      <c r="B945" s="53"/>
      <c r="C945" s="53"/>
      <c r="D945" s="53"/>
      <c r="E945" s="53"/>
      <c r="F945" s="53"/>
    </row>
    <row r="946" ht="15.75" customHeight="1">
      <c r="A946" s="53"/>
      <c r="B946" s="53"/>
      <c r="C946" s="53"/>
      <c r="D946" s="53"/>
      <c r="E946" s="53"/>
      <c r="F946" s="53"/>
    </row>
    <row r="947" ht="15.75" customHeight="1">
      <c r="A947" s="53"/>
      <c r="B947" s="53"/>
      <c r="C947" s="53"/>
      <c r="D947" s="53"/>
      <c r="E947" s="53"/>
      <c r="F947" s="53"/>
    </row>
    <row r="948" ht="15.75" customHeight="1">
      <c r="A948" s="53"/>
      <c r="B948" s="53"/>
      <c r="C948" s="53"/>
      <c r="D948" s="53"/>
      <c r="E948" s="53"/>
      <c r="F948" s="53"/>
    </row>
    <row r="949" ht="15.75" customHeight="1">
      <c r="A949" s="53"/>
      <c r="B949" s="53"/>
      <c r="C949" s="53"/>
      <c r="D949" s="53"/>
      <c r="E949" s="53"/>
      <c r="F949" s="53"/>
    </row>
    <row r="950" ht="15.75" customHeight="1">
      <c r="A950" s="53"/>
      <c r="B950" s="53"/>
      <c r="C950" s="53"/>
      <c r="D950" s="53"/>
      <c r="E950" s="53"/>
      <c r="F950" s="53"/>
    </row>
    <row r="951" ht="15.75" customHeight="1">
      <c r="A951" s="53"/>
      <c r="B951" s="53"/>
      <c r="C951" s="53"/>
      <c r="D951" s="53"/>
      <c r="E951" s="53"/>
      <c r="F951" s="53"/>
    </row>
    <row r="952" ht="15.75" customHeight="1">
      <c r="A952" s="53"/>
      <c r="B952" s="53"/>
      <c r="C952" s="53"/>
      <c r="D952" s="53"/>
      <c r="E952" s="53"/>
      <c r="F952" s="53"/>
    </row>
    <row r="953" ht="15.75" customHeight="1">
      <c r="A953" s="53"/>
      <c r="B953" s="53"/>
      <c r="C953" s="53"/>
      <c r="D953" s="53"/>
      <c r="E953" s="53"/>
      <c r="F953" s="53"/>
    </row>
    <row r="954" ht="15.75" customHeight="1">
      <c r="A954" s="53"/>
      <c r="B954" s="53"/>
      <c r="C954" s="53"/>
      <c r="D954" s="53"/>
      <c r="E954" s="53"/>
      <c r="F954" s="53"/>
    </row>
    <row r="955" ht="15.75" customHeight="1">
      <c r="A955" s="53"/>
      <c r="B955" s="53"/>
      <c r="C955" s="53"/>
      <c r="D955" s="53"/>
      <c r="E955" s="53"/>
      <c r="F955" s="53"/>
    </row>
    <row r="956" ht="15.75" customHeight="1">
      <c r="A956" s="53"/>
      <c r="B956" s="53"/>
      <c r="C956" s="53"/>
      <c r="D956" s="53"/>
      <c r="E956" s="53"/>
      <c r="F956" s="53"/>
    </row>
    <row r="957" ht="15.75" customHeight="1">
      <c r="A957" s="53"/>
      <c r="B957" s="53"/>
      <c r="C957" s="53"/>
      <c r="D957" s="53"/>
      <c r="E957" s="53"/>
      <c r="F957" s="53"/>
    </row>
    <row r="958" ht="15.75" customHeight="1">
      <c r="A958" s="53"/>
      <c r="B958" s="53"/>
      <c r="C958" s="53"/>
      <c r="D958" s="53"/>
      <c r="E958" s="53"/>
      <c r="F958" s="53"/>
    </row>
    <row r="959" ht="15.75" customHeight="1">
      <c r="A959" s="53"/>
      <c r="B959" s="53"/>
      <c r="C959" s="53"/>
      <c r="D959" s="53"/>
      <c r="E959" s="53"/>
      <c r="F959" s="53"/>
    </row>
    <row r="960" ht="15.75" customHeight="1">
      <c r="A960" s="53"/>
      <c r="B960" s="53"/>
      <c r="C960" s="53"/>
      <c r="D960" s="53"/>
      <c r="E960" s="53"/>
      <c r="F960" s="53"/>
    </row>
    <row r="961" ht="15.75" customHeight="1">
      <c r="A961" s="53"/>
      <c r="B961" s="53"/>
      <c r="C961" s="53"/>
      <c r="D961" s="53"/>
      <c r="E961" s="53"/>
      <c r="F961" s="53"/>
    </row>
    <row r="962" ht="15.75" customHeight="1">
      <c r="A962" s="53"/>
      <c r="B962" s="53"/>
      <c r="C962" s="53"/>
      <c r="D962" s="53"/>
      <c r="E962" s="53"/>
      <c r="F962" s="53"/>
    </row>
    <row r="963" ht="15.75" customHeight="1">
      <c r="A963" s="53"/>
      <c r="B963" s="53"/>
      <c r="C963" s="53"/>
      <c r="D963" s="53"/>
      <c r="E963" s="53"/>
      <c r="F963" s="53"/>
    </row>
    <row r="964" ht="15.75" customHeight="1">
      <c r="A964" s="53"/>
      <c r="B964" s="53"/>
      <c r="C964" s="53"/>
      <c r="D964" s="53"/>
      <c r="E964" s="53"/>
      <c r="F964" s="53"/>
    </row>
    <row r="965" ht="15.75" customHeight="1">
      <c r="A965" s="53"/>
      <c r="B965" s="53"/>
      <c r="C965" s="53"/>
      <c r="D965" s="53"/>
      <c r="E965" s="53"/>
      <c r="F965" s="53"/>
    </row>
    <row r="966" ht="15.75" customHeight="1">
      <c r="A966" s="53"/>
      <c r="B966" s="53"/>
      <c r="C966" s="53"/>
      <c r="D966" s="53"/>
      <c r="E966" s="53"/>
      <c r="F966" s="53"/>
    </row>
    <row r="967" ht="15.75" customHeight="1">
      <c r="A967" s="53"/>
      <c r="B967" s="53"/>
      <c r="C967" s="53"/>
      <c r="D967" s="53"/>
      <c r="E967" s="53"/>
      <c r="F967" s="53"/>
    </row>
    <row r="968" ht="15.75" customHeight="1">
      <c r="A968" s="53"/>
      <c r="B968" s="53"/>
      <c r="C968" s="53"/>
      <c r="D968" s="53"/>
      <c r="E968" s="53"/>
      <c r="F968" s="53"/>
    </row>
    <row r="969" ht="15.75" customHeight="1">
      <c r="A969" s="53"/>
      <c r="B969" s="53"/>
      <c r="C969" s="53"/>
      <c r="D969" s="53"/>
      <c r="E969" s="53"/>
      <c r="F969" s="53"/>
    </row>
    <row r="970" ht="15.75" customHeight="1">
      <c r="A970" s="53"/>
      <c r="B970" s="53"/>
      <c r="C970" s="53"/>
      <c r="D970" s="53"/>
      <c r="E970" s="53"/>
      <c r="F970" s="53"/>
    </row>
    <row r="971" ht="15.75" customHeight="1">
      <c r="A971" s="53"/>
      <c r="B971" s="53"/>
      <c r="C971" s="53"/>
      <c r="D971" s="53"/>
      <c r="E971" s="53"/>
      <c r="F971" s="53"/>
    </row>
    <row r="972" ht="15.75" customHeight="1">
      <c r="A972" s="53"/>
      <c r="B972" s="53"/>
      <c r="C972" s="53"/>
      <c r="D972" s="53"/>
      <c r="E972" s="53"/>
      <c r="F972" s="53"/>
    </row>
    <row r="973" ht="15.75" customHeight="1">
      <c r="A973" s="53"/>
      <c r="B973" s="53"/>
      <c r="C973" s="53"/>
      <c r="D973" s="53"/>
      <c r="E973" s="53"/>
      <c r="F973" s="53"/>
    </row>
    <row r="974" ht="15.75" customHeight="1">
      <c r="A974" s="53"/>
      <c r="B974" s="53"/>
      <c r="C974" s="53"/>
      <c r="D974" s="53"/>
      <c r="E974" s="53"/>
      <c r="F974" s="53"/>
    </row>
    <row r="975" ht="15.75" customHeight="1">
      <c r="A975" s="53"/>
      <c r="B975" s="53"/>
      <c r="C975" s="53"/>
      <c r="D975" s="53"/>
      <c r="E975" s="53"/>
      <c r="F975" s="53"/>
    </row>
    <row r="976" ht="15.75" customHeight="1">
      <c r="A976" s="53"/>
      <c r="B976" s="53"/>
      <c r="C976" s="53"/>
      <c r="D976" s="53"/>
      <c r="E976" s="53"/>
      <c r="F976" s="53"/>
    </row>
    <row r="977" ht="15.75" customHeight="1">
      <c r="A977" s="53"/>
      <c r="B977" s="53"/>
      <c r="C977" s="53"/>
      <c r="D977" s="53"/>
      <c r="E977" s="53"/>
      <c r="F977" s="53"/>
    </row>
    <row r="978" ht="15.75" customHeight="1">
      <c r="A978" s="53"/>
      <c r="B978" s="53"/>
      <c r="C978" s="53"/>
      <c r="D978" s="53"/>
      <c r="E978" s="53"/>
      <c r="F978" s="53"/>
    </row>
    <row r="979" ht="15.75" customHeight="1">
      <c r="A979" s="53"/>
      <c r="B979" s="53"/>
      <c r="C979" s="53"/>
      <c r="D979" s="53"/>
      <c r="E979" s="53"/>
      <c r="F979" s="53"/>
    </row>
    <row r="980" ht="15.75" customHeight="1">
      <c r="A980" s="53"/>
      <c r="B980" s="53"/>
      <c r="C980" s="53"/>
      <c r="D980" s="53"/>
      <c r="E980" s="53"/>
      <c r="F980" s="53"/>
    </row>
    <row r="981" ht="15.75" customHeight="1">
      <c r="A981" s="53"/>
      <c r="B981" s="53"/>
      <c r="C981" s="53"/>
      <c r="D981" s="53"/>
      <c r="E981" s="53"/>
      <c r="F981" s="53"/>
    </row>
    <row r="982" ht="15.75" customHeight="1">
      <c r="A982" s="53"/>
      <c r="B982" s="53"/>
      <c r="C982" s="53"/>
      <c r="D982" s="53"/>
      <c r="E982" s="53"/>
      <c r="F982" s="53"/>
    </row>
    <row r="983" ht="15.75" customHeight="1">
      <c r="A983" s="53"/>
      <c r="B983" s="53"/>
      <c r="C983" s="53"/>
      <c r="D983" s="53"/>
      <c r="E983" s="53"/>
      <c r="F983" s="53"/>
    </row>
    <row r="984" ht="15.75" customHeight="1">
      <c r="A984" s="53"/>
      <c r="B984" s="53"/>
      <c r="C984" s="53"/>
      <c r="D984" s="53"/>
      <c r="E984" s="53"/>
      <c r="F984" s="53"/>
    </row>
    <row r="985" ht="15.75" customHeight="1">
      <c r="A985" s="53"/>
      <c r="B985" s="53"/>
      <c r="C985" s="53"/>
      <c r="D985" s="53"/>
      <c r="E985" s="53"/>
      <c r="F985" s="53"/>
    </row>
    <row r="986" ht="15.75" customHeight="1">
      <c r="A986" s="53"/>
      <c r="B986" s="53"/>
      <c r="C986" s="53"/>
      <c r="D986" s="53"/>
      <c r="E986" s="53"/>
      <c r="F986" s="53"/>
    </row>
    <row r="987" ht="15.75" customHeight="1">
      <c r="A987" s="53"/>
      <c r="B987" s="53"/>
      <c r="C987" s="53"/>
      <c r="D987" s="53"/>
      <c r="E987" s="53"/>
      <c r="F987" s="53"/>
    </row>
    <row r="988" ht="15.75" customHeight="1">
      <c r="A988" s="53"/>
      <c r="B988" s="53"/>
      <c r="C988" s="53"/>
      <c r="D988" s="53"/>
      <c r="E988" s="53"/>
      <c r="F988" s="53"/>
    </row>
    <row r="989" ht="15.75" customHeight="1">
      <c r="A989" s="53"/>
      <c r="B989" s="53"/>
      <c r="C989" s="53"/>
      <c r="D989" s="53"/>
      <c r="E989" s="53"/>
      <c r="F989" s="53"/>
    </row>
    <row r="990" ht="15.75" customHeight="1">
      <c r="A990" s="53"/>
      <c r="B990" s="53"/>
      <c r="C990" s="53"/>
      <c r="D990" s="53"/>
      <c r="E990" s="53"/>
      <c r="F990" s="53"/>
    </row>
    <row r="991" ht="15.75" customHeight="1">
      <c r="A991" s="53"/>
      <c r="B991" s="53"/>
      <c r="C991" s="53"/>
      <c r="D991" s="53"/>
      <c r="E991" s="53"/>
      <c r="F991" s="53"/>
    </row>
    <row r="992" ht="15.75" customHeight="1">
      <c r="A992" s="53"/>
      <c r="B992" s="53"/>
      <c r="C992" s="53"/>
      <c r="D992" s="53"/>
      <c r="E992" s="53"/>
      <c r="F992" s="53"/>
    </row>
    <row r="993" ht="15.75" customHeight="1">
      <c r="A993" s="53"/>
      <c r="B993" s="53"/>
      <c r="C993" s="53"/>
      <c r="D993" s="53"/>
      <c r="E993" s="53"/>
      <c r="F993" s="53"/>
    </row>
    <row r="994" ht="15.75" customHeight="1">
      <c r="A994" s="53"/>
      <c r="B994" s="53"/>
      <c r="C994" s="53"/>
      <c r="D994" s="53"/>
      <c r="E994" s="53"/>
      <c r="F994" s="53"/>
    </row>
    <row r="995" ht="15.75" customHeight="1">
      <c r="A995" s="53"/>
      <c r="B995" s="53"/>
      <c r="C995" s="53"/>
      <c r="D995" s="53"/>
      <c r="E995" s="53"/>
      <c r="F995" s="53"/>
    </row>
    <row r="996" ht="15.75" customHeight="1">
      <c r="A996" s="53"/>
      <c r="B996" s="53"/>
      <c r="C996" s="53"/>
      <c r="D996" s="53"/>
      <c r="E996" s="53"/>
      <c r="F996" s="53"/>
    </row>
    <row r="997" ht="15.75" customHeight="1">
      <c r="A997" s="53"/>
      <c r="B997" s="53"/>
      <c r="C997" s="53"/>
      <c r="D997" s="53"/>
      <c r="E997" s="53"/>
      <c r="F997" s="53"/>
    </row>
    <row r="998" ht="15.75" customHeight="1">
      <c r="A998" s="53"/>
      <c r="B998" s="53"/>
      <c r="C998" s="53"/>
      <c r="D998" s="53"/>
      <c r="E998" s="53"/>
      <c r="F998" s="53"/>
    </row>
    <row r="999" ht="15.75" customHeight="1">
      <c r="A999" s="53"/>
      <c r="B999" s="53"/>
      <c r="C999" s="53"/>
      <c r="D999" s="53"/>
      <c r="E999" s="53"/>
      <c r="F999" s="53"/>
    </row>
    <row r="1000" ht="15.75" customHeight="1">
      <c r="A1000" s="53"/>
      <c r="B1000" s="53"/>
      <c r="C1000" s="53"/>
      <c r="D1000" s="53"/>
      <c r="E1000" s="53"/>
      <c r="F1000" s="5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3.0"/>
    <col customWidth="1" min="3" max="3" width="30.0"/>
    <col customWidth="1" min="4" max="4" width="16.0"/>
    <col customWidth="1" min="5" max="6" width="12.0"/>
    <col customWidth="1" min="7" max="7" width="14.0"/>
    <col customWidth="1" min="8" max="8" width="13.0"/>
    <col customWidth="1" min="9" max="9" width="22.0"/>
  </cols>
  <sheetData>
    <row r="1" ht="33.75" customHeight="1">
      <c r="A1" s="425" t="s">
        <v>558</v>
      </c>
      <c r="B1" s="55"/>
      <c r="C1" s="55"/>
      <c r="D1" s="55"/>
      <c r="E1" s="55"/>
      <c r="F1" s="55"/>
      <c r="G1" s="55"/>
      <c r="H1" s="55"/>
      <c r="I1" s="56"/>
    </row>
    <row r="2" ht="15.75" customHeight="1">
      <c r="A2" s="426" t="s">
        <v>559</v>
      </c>
      <c r="B2" s="55"/>
      <c r="C2" s="55"/>
      <c r="D2" s="55"/>
      <c r="E2" s="55"/>
      <c r="F2" s="55"/>
      <c r="G2" s="55"/>
      <c r="H2" s="55"/>
      <c r="I2" s="56"/>
    </row>
    <row r="3" ht="27.75" customHeight="1">
      <c r="A3" s="295" t="s">
        <v>560</v>
      </c>
      <c r="B3" s="55"/>
      <c r="C3" s="55"/>
      <c r="D3" s="55"/>
      <c r="E3" s="55"/>
      <c r="F3" s="55"/>
      <c r="G3" s="55"/>
      <c r="H3" s="55"/>
      <c r="I3" s="56"/>
    </row>
    <row r="4" ht="18.0" customHeight="1">
      <c r="A4" s="296" t="s">
        <v>479</v>
      </c>
      <c r="B4" s="296" t="s">
        <v>561</v>
      </c>
      <c r="C4" s="296" t="s">
        <v>562</v>
      </c>
      <c r="D4" s="296" t="s">
        <v>110</v>
      </c>
      <c r="E4" s="294"/>
      <c r="F4" s="294"/>
      <c r="G4" s="312"/>
      <c r="H4" s="294"/>
      <c r="I4" s="294"/>
    </row>
    <row r="5" ht="15.75" customHeight="1">
      <c r="A5" s="299" t="s">
        <v>486</v>
      </c>
      <c r="B5" s="302">
        <v>99.0</v>
      </c>
      <c r="C5" s="300">
        <f>G28</f>
        <v>0</v>
      </c>
      <c r="D5" s="427"/>
      <c r="E5" s="312"/>
      <c r="F5" s="312"/>
      <c r="G5" s="312"/>
      <c r="H5" s="294"/>
      <c r="I5" s="294"/>
    </row>
    <row r="6" ht="15.75" customHeight="1">
      <c r="A6" s="303" t="s">
        <v>487</v>
      </c>
      <c r="B6" s="306">
        <v>61.0</v>
      </c>
      <c r="C6" s="304">
        <f>G129</f>
        <v>0</v>
      </c>
      <c r="D6" s="428"/>
      <c r="E6" s="312"/>
      <c r="F6" s="312"/>
      <c r="G6" s="312"/>
      <c r="H6" s="294"/>
      <c r="I6" s="294"/>
    </row>
    <row r="7" ht="15.75" customHeight="1">
      <c r="A7" s="299" t="s">
        <v>488</v>
      </c>
      <c r="B7" s="302">
        <v>47.0</v>
      </c>
      <c r="C7" s="300">
        <f>G192</f>
        <v>0</v>
      </c>
      <c r="D7" s="427"/>
      <c r="E7" s="312"/>
      <c r="F7" s="312"/>
      <c r="G7" s="312"/>
      <c r="H7" s="294"/>
      <c r="I7" s="294"/>
    </row>
    <row r="8" ht="15.75" customHeight="1">
      <c r="A8" s="303" t="s">
        <v>489</v>
      </c>
      <c r="B8" s="306">
        <v>62.0</v>
      </c>
      <c r="C8" s="304">
        <f>G241</f>
        <v>0</v>
      </c>
      <c r="D8" s="428"/>
      <c r="E8" s="312"/>
      <c r="F8" s="312"/>
      <c r="G8" s="312"/>
      <c r="H8" s="294"/>
      <c r="I8" s="294"/>
    </row>
    <row r="9" ht="15.75" customHeight="1">
      <c r="A9" s="299" t="s">
        <v>490</v>
      </c>
      <c r="B9" s="302">
        <v>85.0</v>
      </c>
      <c r="C9" s="300">
        <f>G305</f>
        <v>0</v>
      </c>
      <c r="D9" s="427"/>
      <c r="E9" s="312"/>
      <c r="F9" s="312"/>
      <c r="G9" s="312"/>
      <c r="H9" s="294"/>
      <c r="I9" s="294"/>
    </row>
    <row r="10" ht="15.75" customHeight="1">
      <c r="A10" s="303" t="s">
        <v>491</v>
      </c>
      <c r="B10" s="306">
        <v>98.0</v>
      </c>
      <c r="C10" s="304">
        <f>G392</f>
        <v>0</v>
      </c>
      <c r="D10" s="428"/>
      <c r="E10" s="312"/>
      <c r="F10" s="312"/>
      <c r="G10" s="312"/>
      <c r="H10" s="294"/>
      <c r="I10" s="294"/>
    </row>
    <row r="11" ht="15.75" customHeight="1">
      <c r="A11" s="299" t="s">
        <v>492</v>
      </c>
      <c r="B11" s="302">
        <v>97.0</v>
      </c>
      <c r="C11" s="300">
        <f>G492</f>
        <v>0</v>
      </c>
      <c r="D11" s="427"/>
      <c r="E11" s="312"/>
      <c r="F11" s="312"/>
      <c r="G11" s="312"/>
      <c r="H11" s="294"/>
      <c r="I11" s="294"/>
    </row>
    <row r="12" ht="15.75" customHeight="1">
      <c r="A12" s="303" t="s">
        <v>493</v>
      </c>
      <c r="B12" s="306">
        <f>COUNTA(C592:C621)</f>
        <v>0</v>
      </c>
      <c r="C12" s="304">
        <f>G591</f>
        <v>0</v>
      </c>
      <c r="D12" s="428"/>
      <c r="E12" s="312"/>
      <c r="F12" s="312"/>
      <c r="G12" s="312"/>
      <c r="H12" s="294"/>
      <c r="I12" s="294"/>
    </row>
    <row r="13" ht="15.75" customHeight="1">
      <c r="A13" s="299" t="s">
        <v>494</v>
      </c>
      <c r="B13" s="302">
        <f>COUNTA(C624:C653)</f>
        <v>0</v>
      </c>
      <c r="C13" s="300">
        <f>G623</f>
        <v>0</v>
      </c>
      <c r="D13" s="427"/>
      <c r="E13" s="312"/>
      <c r="F13" s="312"/>
      <c r="G13" s="312"/>
      <c r="H13" s="294"/>
      <c r="I13" s="294"/>
    </row>
    <row r="14" ht="15.75" customHeight="1">
      <c r="A14" s="303" t="s">
        <v>495</v>
      </c>
      <c r="B14" s="306">
        <f>COUNTA(C656:C685)</f>
        <v>0</v>
      </c>
      <c r="C14" s="304">
        <f>G655</f>
        <v>0</v>
      </c>
      <c r="D14" s="428"/>
      <c r="E14" s="312"/>
      <c r="F14" s="312"/>
      <c r="G14" s="312"/>
      <c r="H14" s="294"/>
      <c r="I14" s="294"/>
    </row>
    <row r="15" ht="15.75" customHeight="1">
      <c r="A15" s="299" t="s">
        <v>496</v>
      </c>
      <c r="B15" s="302">
        <f>COUNTA(C688:C717)</f>
        <v>0</v>
      </c>
      <c r="C15" s="300">
        <f>G687</f>
        <v>0</v>
      </c>
      <c r="D15" s="427"/>
      <c r="E15" s="312"/>
      <c r="F15" s="312"/>
      <c r="G15" s="312"/>
      <c r="H15" s="294"/>
      <c r="I15" s="294"/>
    </row>
    <row r="16" ht="15.75" customHeight="1">
      <c r="A16" s="303" t="s">
        <v>497</v>
      </c>
      <c r="B16" s="306">
        <f>COUNTA(C720:C749)</f>
        <v>0</v>
      </c>
      <c r="C16" s="304">
        <f>G719</f>
        <v>0</v>
      </c>
      <c r="D16" s="428"/>
      <c r="E16" s="312"/>
      <c r="F16" s="312"/>
      <c r="G16" s="312"/>
      <c r="H16" s="294"/>
      <c r="I16" s="294"/>
    </row>
    <row r="17" ht="15.75" customHeight="1">
      <c r="A17" s="299" t="s">
        <v>498</v>
      </c>
      <c r="B17" s="302">
        <f>COUNTA(C752:C781)</f>
        <v>0</v>
      </c>
      <c r="C17" s="300">
        <f>G751</f>
        <v>0</v>
      </c>
      <c r="D17" s="427"/>
      <c r="E17" s="312"/>
      <c r="F17" s="312"/>
      <c r="G17" s="312"/>
      <c r="H17" s="294"/>
      <c r="I17" s="294"/>
    </row>
    <row r="18" ht="15.75" customHeight="1">
      <c r="A18" s="303" t="s">
        <v>499</v>
      </c>
      <c r="B18" s="306">
        <f>COUNTA(C784:C813)</f>
        <v>0</v>
      </c>
      <c r="C18" s="304">
        <f>G783</f>
        <v>0</v>
      </c>
      <c r="D18" s="428"/>
      <c r="E18" s="312"/>
      <c r="F18" s="312"/>
      <c r="G18" s="312"/>
      <c r="H18" s="294"/>
      <c r="I18" s="294"/>
    </row>
    <row r="19" ht="15.75" customHeight="1">
      <c r="A19" s="299" t="s">
        <v>500</v>
      </c>
      <c r="B19" s="302">
        <f>COUNTA(C816:C845)</f>
        <v>0</v>
      </c>
      <c r="C19" s="300">
        <f>G815</f>
        <v>0</v>
      </c>
      <c r="D19" s="427"/>
      <c r="E19" s="312"/>
      <c r="F19" s="312"/>
      <c r="G19" s="312"/>
      <c r="H19" s="294"/>
      <c r="I19" s="294"/>
    </row>
    <row r="20" ht="15.75" customHeight="1">
      <c r="A20" s="303" t="s">
        <v>501</v>
      </c>
      <c r="B20" s="306">
        <f>COUNTA(C848:C877)</f>
        <v>0</v>
      </c>
      <c r="C20" s="304">
        <f>G847</f>
        <v>0</v>
      </c>
      <c r="D20" s="428"/>
      <c r="E20" s="312"/>
      <c r="F20" s="312"/>
      <c r="G20" s="312"/>
      <c r="H20" s="294"/>
      <c r="I20" s="294"/>
    </row>
    <row r="21" ht="15.75" customHeight="1">
      <c r="A21" s="299" t="s">
        <v>502</v>
      </c>
      <c r="B21" s="302">
        <f>COUNTA(C880:C909)</f>
        <v>0</v>
      </c>
      <c r="C21" s="300">
        <f>G879</f>
        <v>0</v>
      </c>
      <c r="D21" s="427"/>
      <c r="E21" s="312"/>
      <c r="F21" s="312"/>
      <c r="G21" s="312"/>
      <c r="H21" s="294"/>
      <c r="I21" s="294"/>
    </row>
    <row r="22" ht="15.75" customHeight="1">
      <c r="A22" s="303" t="s">
        <v>503</v>
      </c>
      <c r="B22" s="306">
        <f>COUNTA(C912:C941)</f>
        <v>0</v>
      </c>
      <c r="C22" s="304">
        <f>G911</f>
        <v>0</v>
      </c>
      <c r="D22" s="428"/>
      <c r="E22" s="312"/>
      <c r="F22" s="312"/>
      <c r="G22" s="312"/>
      <c r="H22" s="294"/>
      <c r="I22" s="294"/>
    </row>
    <row r="23" ht="15.75" customHeight="1">
      <c r="A23" s="299" t="s">
        <v>504</v>
      </c>
      <c r="B23" s="302">
        <f>COUNTA(C944:C973)</f>
        <v>0</v>
      </c>
      <c r="C23" s="300">
        <f>G943</f>
        <v>0</v>
      </c>
      <c r="D23" s="427"/>
      <c r="E23" s="312"/>
      <c r="F23" s="312"/>
      <c r="G23" s="312"/>
      <c r="H23" s="294"/>
      <c r="I23" s="294"/>
    </row>
    <row r="24" ht="15.75" customHeight="1">
      <c r="A24" s="303" t="s">
        <v>505</v>
      </c>
      <c r="B24" s="306">
        <f>COUNTA(C976:C1005)</f>
        <v>0</v>
      </c>
      <c r="C24" s="304">
        <f>G975</f>
        <v>0</v>
      </c>
      <c r="D24" s="428"/>
      <c r="E24" s="312"/>
      <c r="F24" s="312"/>
      <c r="G24" s="312"/>
      <c r="H24" s="294"/>
      <c r="I24" s="294"/>
    </row>
    <row r="25" ht="19.5" customHeight="1">
      <c r="A25" s="307" t="s">
        <v>506</v>
      </c>
      <c r="B25" s="307">
        <f t="shared" ref="B25:C25" si="1">SUM(B5:B24)</f>
        <v>549</v>
      </c>
      <c r="C25" s="308">
        <f t="shared" si="1"/>
        <v>0</v>
      </c>
      <c r="D25" s="429"/>
      <c r="E25" s="430"/>
      <c r="F25" s="430"/>
      <c r="G25" s="430"/>
      <c r="H25" s="310"/>
      <c r="I25" s="310"/>
    </row>
    <row r="26" ht="7.5" customHeight="1">
      <c r="A26" s="294"/>
      <c r="B26" s="294"/>
      <c r="C26" s="294"/>
      <c r="D26" s="431"/>
      <c r="E26" s="312"/>
      <c r="F26" s="312"/>
      <c r="G26" s="312"/>
      <c r="H26" s="294"/>
      <c r="I26" s="294"/>
    </row>
    <row r="27" ht="18.0" customHeight="1">
      <c r="A27" s="296" t="s">
        <v>479</v>
      </c>
      <c r="B27" s="296" t="s">
        <v>508</v>
      </c>
      <c r="C27" s="296" t="s">
        <v>563</v>
      </c>
      <c r="D27" s="432" t="s">
        <v>564</v>
      </c>
      <c r="E27" s="298" t="s">
        <v>565</v>
      </c>
      <c r="F27" s="298" t="s">
        <v>566</v>
      </c>
      <c r="G27" s="298" t="s">
        <v>567</v>
      </c>
      <c r="H27" s="296" t="s">
        <v>568</v>
      </c>
      <c r="I27" s="296" t="s">
        <v>569</v>
      </c>
    </row>
    <row r="28" ht="21.75" customHeight="1">
      <c r="A28" s="433" t="s">
        <v>516</v>
      </c>
      <c r="B28" s="56"/>
      <c r="C28" s="434"/>
      <c r="D28" s="435"/>
      <c r="E28" s="436"/>
      <c r="F28" s="437" t="s">
        <v>570</v>
      </c>
      <c r="G28" s="438">
        <f>SUM(G29:G127)</f>
        <v>0</v>
      </c>
      <c r="H28" s="434"/>
      <c r="I28" s="434"/>
    </row>
    <row r="29" ht="15.0" customHeight="1">
      <c r="A29" s="318"/>
      <c r="B29" s="320"/>
      <c r="C29" s="319"/>
      <c r="D29" s="439"/>
      <c r="E29" s="321"/>
      <c r="F29" s="321"/>
      <c r="G29" s="321"/>
      <c r="H29" s="322"/>
      <c r="I29" s="323"/>
    </row>
    <row r="30" ht="15.0" customHeight="1">
      <c r="A30" s="325"/>
      <c r="B30" s="327"/>
      <c r="C30" s="326"/>
      <c r="D30" s="440"/>
      <c r="E30" s="328"/>
      <c r="F30" s="328"/>
      <c r="G30" s="328"/>
      <c r="H30" s="329"/>
      <c r="I30" s="330"/>
    </row>
    <row r="31" ht="15.0" customHeight="1">
      <c r="A31" s="318"/>
      <c r="B31" s="320"/>
      <c r="C31" s="319"/>
      <c r="D31" s="439"/>
      <c r="E31" s="321"/>
      <c r="F31" s="321"/>
      <c r="G31" s="321"/>
      <c r="H31" s="322"/>
      <c r="I31" s="323"/>
    </row>
    <row r="32" ht="15.0" customHeight="1">
      <c r="A32" s="325"/>
      <c r="B32" s="327"/>
      <c r="C32" s="326"/>
      <c r="D32" s="440"/>
      <c r="E32" s="328"/>
      <c r="F32" s="328"/>
      <c r="G32" s="328"/>
      <c r="H32" s="329"/>
      <c r="I32" s="330"/>
    </row>
    <row r="33" ht="15.0" customHeight="1">
      <c r="A33" s="318"/>
      <c r="B33" s="320"/>
      <c r="C33" s="319"/>
      <c r="D33" s="439"/>
      <c r="E33" s="321"/>
      <c r="F33" s="321"/>
      <c r="G33" s="321"/>
      <c r="H33" s="322"/>
      <c r="I33" s="323"/>
    </row>
    <row r="34" ht="15.0" customHeight="1">
      <c r="A34" s="325"/>
      <c r="B34" s="327"/>
      <c r="C34" s="326"/>
      <c r="D34" s="440"/>
      <c r="E34" s="328"/>
      <c r="F34" s="328"/>
      <c r="G34" s="328"/>
      <c r="H34" s="329"/>
      <c r="I34" s="330"/>
    </row>
    <row r="35" ht="15.0" customHeight="1">
      <c r="A35" s="318"/>
      <c r="B35" s="320"/>
      <c r="C35" s="319"/>
      <c r="D35" s="439"/>
      <c r="E35" s="321"/>
      <c r="F35" s="321"/>
      <c r="G35" s="321"/>
      <c r="H35" s="322"/>
      <c r="I35" s="323"/>
    </row>
    <row r="36" ht="15.0" customHeight="1">
      <c r="A36" s="325"/>
      <c r="B36" s="327"/>
      <c r="C36" s="326"/>
      <c r="D36" s="440"/>
      <c r="E36" s="328"/>
      <c r="F36" s="328"/>
      <c r="G36" s="328"/>
      <c r="H36" s="329"/>
      <c r="I36" s="330"/>
    </row>
    <row r="37" ht="15.0" customHeight="1">
      <c r="A37" s="318"/>
      <c r="B37" s="320"/>
      <c r="C37" s="319"/>
      <c r="D37" s="439"/>
      <c r="E37" s="321"/>
      <c r="F37" s="321"/>
      <c r="G37" s="321"/>
      <c r="H37" s="322"/>
      <c r="I37" s="323"/>
    </row>
    <row r="38" ht="15.0" customHeight="1">
      <c r="A38" s="325"/>
      <c r="B38" s="327"/>
      <c r="C38" s="326"/>
      <c r="D38" s="440"/>
      <c r="E38" s="328"/>
      <c r="F38" s="328"/>
      <c r="G38" s="328"/>
      <c r="H38" s="329"/>
      <c r="I38" s="330"/>
    </row>
    <row r="39" ht="15.0" customHeight="1">
      <c r="A39" s="318"/>
      <c r="B39" s="320"/>
      <c r="C39" s="319"/>
      <c r="D39" s="439"/>
      <c r="E39" s="321"/>
      <c r="F39" s="321"/>
      <c r="G39" s="321"/>
      <c r="H39" s="322"/>
      <c r="I39" s="323"/>
    </row>
    <row r="40" ht="15.0" customHeight="1">
      <c r="A40" s="325"/>
      <c r="B40" s="327"/>
      <c r="C40" s="326"/>
      <c r="D40" s="440"/>
      <c r="E40" s="328"/>
      <c r="F40" s="328"/>
      <c r="G40" s="328"/>
      <c r="H40" s="329"/>
      <c r="I40" s="330"/>
    </row>
    <row r="41" ht="15.0" customHeight="1">
      <c r="A41" s="318"/>
      <c r="B41" s="320"/>
      <c r="C41" s="319"/>
      <c r="D41" s="439"/>
      <c r="E41" s="321"/>
      <c r="F41" s="321"/>
      <c r="G41" s="321"/>
      <c r="H41" s="322"/>
      <c r="I41" s="323"/>
    </row>
    <row r="42" ht="15.0" customHeight="1">
      <c r="A42" s="325"/>
      <c r="B42" s="327"/>
      <c r="C42" s="326"/>
      <c r="D42" s="440"/>
      <c r="E42" s="328"/>
      <c r="F42" s="328"/>
      <c r="G42" s="328"/>
      <c r="H42" s="329"/>
      <c r="I42" s="330"/>
    </row>
    <row r="43" ht="15.0" customHeight="1">
      <c r="A43" s="318"/>
      <c r="B43" s="320"/>
      <c r="C43" s="319"/>
      <c r="D43" s="439"/>
      <c r="E43" s="321"/>
      <c r="F43" s="321"/>
      <c r="G43" s="321"/>
      <c r="H43" s="322"/>
      <c r="I43" s="323"/>
    </row>
    <row r="44" ht="15.0" customHeight="1">
      <c r="A44" s="325"/>
      <c r="B44" s="327"/>
      <c r="C44" s="326"/>
      <c r="D44" s="440"/>
      <c r="E44" s="328"/>
      <c r="F44" s="328"/>
      <c r="G44" s="328"/>
      <c r="H44" s="329"/>
      <c r="I44" s="330"/>
    </row>
    <row r="45" ht="15.0" customHeight="1">
      <c r="A45" s="318"/>
      <c r="B45" s="320"/>
      <c r="C45" s="319"/>
      <c r="D45" s="439"/>
      <c r="E45" s="321"/>
      <c r="F45" s="321"/>
      <c r="G45" s="321"/>
      <c r="H45" s="322"/>
      <c r="I45" s="323"/>
    </row>
    <row r="46" ht="15.0" customHeight="1">
      <c r="A46" s="325"/>
      <c r="B46" s="327"/>
      <c r="C46" s="326"/>
      <c r="D46" s="440"/>
      <c r="E46" s="328"/>
      <c r="F46" s="328"/>
      <c r="G46" s="328"/>
      <c r="H46" s="329"/>
      <c r="I46" s="330"/>
    </row>
    <row r="47" ht="15.0" customHeight="1">
      <c r="A47" s="318"/>
      <c r="B47" s="320"/>
      <c r="C47" s="319"/>
      <c r="D47" s="439"/>
      <c r="E47" s="321"/>
      <c r="F47" s="321"/>
      <c r="G47" s="321"/>
      <c r="H47" s="322"/>
      <c r="I47" s="323"/>
    </row>
    <row r="48" ht="15.0" customHeight="1">
      <c r="A48" s="325"/>
      <c r="B48" s="327"/>
      <c r="C48" s="326"/>
      <c r="D48" s="440"/>
      <c r="E48" s="328"/>
      <c r="F48" s="328"/>
      <c r="G48" s="328"/>
      <c r="H48" s="329"/>
      <c r="I48" s="330"/>
    </row>
    <row r="49" ht="15.0" customHeight="1">
      <c r="A49" s="318"/>
      <c r="B49" s="320"/>
      <c r="C49" s="319"/>
      <c r="D49" s="439"/>
      <c r="E49" s="321"/>
      <c r="F49" s="321"/>
      <c r="G49" s="321"/>
      <c r="H49" s="322"/>
      <c r="I49" s="323"/>
    </row>
    <row r="50" ht="15.0" customHeight="1">
      <c r="A50" s="325"/>
      <c r="B50" s="327"/>
      <c r="C50" s="326"/>
      <c r="D50" s="440"/>
      <c r="E50" s="328"/>
      <c r="F50" s="328"/>
      <c r="G50" s="328"/>
      <c r="H50" s="329"/>
      <c r="I50" s="330"/>
    </row>
    <row r="51" ht="15.0" customHeight="1">
      <c r="A51" s="318"/>
      <c r="B51" s="320"/>
      <c r="C51" s="319"/>
      <c r="D51" s="439"/>
      <c r="E51" s="321"/>
      <c r="F51" s="321"/>
      <c r="G51" s="321"/>
      <c r="H51" s="322"/>
      <c r="I51" s="323"/>
    </row>
    <row r="52" ht="15.0" customHeight="1">
      <c r="A52" s="325"/>
      <c r="B52" s="327"/>
      <c r="C52" s="326"/>
      <c r="D52" s="440"/>
      <c r="E52" s="328"/>
      <c r="F52" s="328"/>
      <c r="G52" s="328"/>
      <c r="H52" s="329"/>
      <c r="I52" s="330"/>
    </row>
    <row r="53" ht="15.0" customHeight="1">
      <c r="A53" s="318"/>
      <c r="B53" s="320"/>
      <c r="C53" s="319"/>
      <c r="D53" s="439"/>
      <c r="E53" s="321"/>
      <c r="F53" s="321"/>
      <c r="G53" s="321"/>
      <c r="H53" s="322"/>
      <c r="I53" s="323"/>
    </row>
    <row r="54" ht="15.0" customHeight="1">
      <c r="A54" s="325"/>
      <c r="B54" s="327"/>
      <c r="C54" s="326"/>
      <c r="D54" s="440"/>
      <c r="E54" s="328"/>
      <c r="F54" s="328"/>
      <c r="G54" s="328"/>
      <c r="H54" s="329"/>
      <c r="I54" s="330"/>
    </row>
    <row r="55" ht="15.0" customHeight="1">
      <c r="A55" s="318"/>
      <c r="B55" s="320"/>
      <c r="C55" s="319"/>
      <c r="D55" s="439"/>
      <c r="E55" s="321"/>
      <c r="F55" s="321"/>
      <c r="G55" s="321"/>
      <c r="H55" s="322"/>
      <c r="I55" s="323"/>
    </row>
    <row r="56" ht="15.0" customHeight="1">
      <c r="A56" s="325"/>
      <c r="B56" s="327"/>
      <c r="C56" s="326"/>
      <c r="D56" s="440"/>
      <c r="E56" s="328"/>
      <c r="F56" s="328"/>
      <c r="G56" s="328"/>
      <c r="H56" s="329"/>
      <c r="I56" s="330"/>
    </row>
    <row r="57" ht="15.0" customHeight="1">
      <c r="A57" s="318"/>
      <c r="B57" s="320"/>
      <c r="C57" s="319"/>
      <c r="D57" s="439"/>
      <c r="E57" s="321"/>
      <c r="F57" s="321"/>
      <c r="G57" s="321"/>
      <c r="H57" s="322"/>
      <c r="I57" s="323"/>
    </row>
    <row r="58" ht="15.0" customHeight="1">
      <c r="A58" s="325"/>
      <c r="B58" s="327"/>
      <c r="C58" s="326"/>
      <c r="D58" s="440"/>
      <c r="E58" s="328"/>
      <c r="F58" s="328"/>
      <c r="G58" s="328"/>
      <c r="H58" s="329"/>
      <c r="I58" s="330"/>
    </row>
    <row r="59" ht="15.0" customHeight="1">
      <c r="A59" s="318"/>
      <c r="B59" s="320"/>
      <c r="C59" s="319"/>
      <c r="D59" s="439"/>
      <c r="E59" s="321"/>
      <c r="F59" s="321"/>
      <c r="G59" s="321"/>
      <c r="H59" s="322"/>
      <c r="I59" s="323"/>
    </row>
    <row r="60" ht="15.0" customHeight="1">
      <c r="A60" s="325"/>
      <c r="B60" s="327"/>
      <c r="C60" s="326"/>
      <c r="D60" s="440"/>
      <c r="E60" s="328"/>
      <c r="F60" s="328"/>
      <c r="G60" s="328"/>
      <c r="H60" s="329"/>
      <c r="I60" s="330"/>
    </row>
    <row r="61" ht="15.0" customHeight="1">
      <c r="A61" s="318"/>
      <c r="B61" s="320"/>
      <c r="C61" s="319"/>
      <c r="D61" s="439"/>
      <c r="E61" s="321"/>
      <c r="F61" s="321"/>
      <c r="G61" s="321"/>
      <c r="H61" s="322"/>
      <c r="I61" s="323"/>
    </row>
    <row r="62" ht="15.0" customHeight="1">
      <c r="A62" s="325"/>
      <c r="B62" s="327"/>
      <c r="C62" s="326"/>
      <c r="D62" s="440"/>
      <c r="E62" s="328"/>
      <c r="F62" s="328"/>
      <c r="G62" s="328"/>
      <c r="H62" s="329"/>
      <c r="I62" s="330"/>
    </row>
    <row r="63" ht="15.0" customHeight="1">
      <c r="A63" s="318"/>
      <c r="B63" s="320"/>
      <c r="C63" s="319"/>
      <c r="D63" s="439"/>
      <c r="E63" s="321"/>
      <c r="F63" s="321"/>
      <c r="G63" s="321"/>
      <c r="H63" s="322"/>
      <c r="I63" s="323"/>
    </row>
    <row r="64" ht="15.0" customHeight="1">
      <c r="A64" s="325"/>
      <c r="B64" s="327"/>
      <c r="C64" s="326"/>
      <c r="D64" s="440"/>
      <c r="E64" s="328"/>
      <c r="F64" s="328"/>
      <c r="G64" s="328"/>
      <c r="H64" s="329"/>
      <c r="I64" s="330"/>
    </row>
    <row r="65" ht="15.0" customHeight="1">
      <c r="A65" s="318"/>
      <c r="B65" s="320"/>
      <c r="C65" s="319"/>
      <c r="D65" s="439"/>
      <c r="E65" s="321"/>
      <c r="F65" s="321"/>
      <c r="G65" s="321"/>
      <c r="H65" s="322"/>
      <c r="I65" s="323"/>
    </row>
    <row r="66" ht="15.0" customHeight="1">
      <c r="A66" s="325"/>
      <c r="B66" s="327"/>
      <c r="C66" s="326"/>
      <c r="D66" s="440"/>
      <c r="E66" s="328"/>
      <c r="F66" s="328"/>
      <c r="G66" s="328"/>
      <c r="H66" s="329"/>
      <c r="I66" s="330"/>
    </row>
    <row r="67" ht="15.0" customHeight="1">
      <c r="A67" s="318"/>
      <c r="B67" s="320"/>
      <c r="C67" s="319"/>
      <c r="D67" s="439"/>
      <c r="E67" s="321"/>
      <c r="F67" s="321"/>
      <c r="G67" s="321"/>
      <c r="H67" s="322"/>
      <c r="I67" s="323"/>
    </row>
    <row r="68" ht="15.0" customHeight="1">
      <c r="A68" s="325"/>
      <c r="B68" s="327"/>
      <c r="C68" s="326"/>
      <c r="D68" s="440"/>
      <c r="E68" s="328"/>
      <c r="F68" s="328"/>
      <c r="G68" s="328"/>
      <c r="H68" s="329"/>
      <c r="I68" s="330"/>
    </row>
    <row r="69" ht="15.0" customHeight="1">
      <c r="A69" s="318"/>
      <c r="B69" s="320"/>
      <c r="C69" s="319"/>
      <c r="D69" s="439"/>
      <c r="E69" s="321"/>
      <c r="F69" s="321"/>
      <c r="G69" s="321"/>
      <c r="H69" s="322"/>
      <c r="I69" s="323"/>
    </row>
    <row r="70" ht="15.0" customHeight="1">
      <c r="A70" s="325"/>
      <c r="B70" s="327"/>
      <c r="C70" s="326"/>
      <c r="D70" s="440"/>
      <c r="E70" s="328"/>
      <c r="F70" s="328"/>
      <c r="G70" s="328"/>
      <c r="H70" s="329"/>
      <c r="I70" s="330"/>
    </row>
    <row r="71" ht="15.0" customHeight="1">
      <c r="A71" s="318"/>
      <c r="B71" s="320"/>
      <c r="C71" s="319"/>
      <c r="D71" s="439"/>
      <c r="E71" s="321"/>
      <c r="F71" s="321"/>
      <c r="G71" s="321"/>
      <c r="H71" s="322"/>
      <c r="I71" s="323"/>
    </row>
    <row r="72" ht="15.0" customHeight="1">
      <c r="A72" s="325"/>
      <c r="B72" s="327"/>
      <c r="C72" s="326"/>
      <c r="D72" s="440"/>
      <c r="E72" s="328"/>
      <c r="F72" s="328"/>
      <c r="G72" s="328"/>
      <c r="H72" s="329"/>
      <c r="I72" s="330"/>
    </row>
    <row r="73" ht="15.0" customHeight="1">
      <c r="A73" s="318"/>
      <c r="B73" s="320"/>
      <c r="C73" s="319"/>
      <c r="D73" s="439"/>
      <c r="E73" s="321"/>
      <c r="F73" s="321"/>
      <c r="G73" s="321"/>
      <c r="H73" s="322"/>
      <c r="I73" s="323"/>
    </row>
    <row r="74" ht="15.0" customHeight="1">
      <c r="A74" s="325"/>
      <c r="B74" s="327"/>
      <c r="C74" s="326"/>
      <c r="D74" s="440"/>
      <c r="E74" s="328"/>
      <c r="F74" s="328"/>
      <c r="G74" s="328"/>
      <c r="H74" s="329"/>
      <c r="I74" s="330"/>
    </row>
    <row r="75" ht="15.0" customHeight="1">
      <c r="A75" s="318"/>
      <c r="B75" s="320"/>
      <c r="C75" s="319"/>
      <c r="D75" s="439"/>
      <c r="E75" s="321"/>
      <c r="F75" s="321"/>
      <c r="G75" s="321"/>
      <c r="H75" s="322"/>
      <c r="I75" s="323"/>
    </row>
    <row r="76" ht="15.0" customHeight="1">
      <c r="A76" s="325"/>
      <c r="B76" s="327"/>
      <c r="C76" s="326"/>
      <c r="D76" s="440"/>
      <c r="E76" s="328"/>
      <c r="F76" s="328"/>
      <c r="G76" s="328"/>
      <c r="H76" s="329"/>
      <c r="I76" s="330"/>
    </row>
    <row r="77" ht="15.0" customHeight="1">
      <c r="A77" s="318"/>
      <c r="B77" s="320"/>
      <c r="C77" s="319"/>
      <c r="D77" s="439"/>
      <c r="E77" s="321"/>
      <c r="F77" s="321"/>
      <c r="G77" s="321"/>
      <c r="H77" s="322"/>
      <c r="I77" s="323"/>
    </row>
    <row r="78" ht="15.0" customHeight="1">
      <c r="A78" s="325"/>
      <c r="B78" s="327"/>
      <c r="C78" s="326"/>
      <c r="D78" s="440"/>
      <c r="E78" s="328"/>
      <c r="F78" s="328"/>
      <c r="G78" s="328"/>
      <c r="H78" s="329"/>
      <c r="I78" s="330"/>
    </row>
    <row r="79" ht="15.0" customHeight="1">
      <c r="A79" s="318"/>
      <c r="B79" s="320"/>
      <c r="C79" s="319"/>
      <c r="D79" s="439"/>
      <c r="E79" s="321"/>
      <c r="F79" s="321"/>
      <c r="G79" s="321"/>
      <c r="H79" s="322"/>
      <c r="I79" s="323"/>
    </row>
    <row r="80" ht="15.0" customHeight="1">
      <c r="A80" s="325"/>
      <c r="B80" s="327"/>
      <c r="C80" s="326"/>
      <c r="D80" s="440"/>
      <c r="E80" s="328"/>
      <c r="F80" s="328"/>
      <c r="G80" s="328"/>
      <c r="H80" s="329"/>
      <c r="I80" s="330"/>
    </row>
    <row r="81" ht="15.0" customHeight="1">
      <c r="A81" s="318"/>
      <c r="B81" s="320"/>
      <c r="C81" s="319"/>
      <c r="D81" s="439"/>
      <c r="E81" s="321"/>
      <c r="F81" s="321"/>
      <c r="G81" s="321"/>
      <c r="H81" s="322"/>
      <c r="I81" s="323"/>
    </row>
    <row r="82" ht="15.0" customHeight="1">
      <c r="A82" s="325"/>
      <c r="B82" s="327"/>
      <c r="C82" s="326"/>
      <c r="D82" s="440"/>
      <c r="E82" s="328"/>
      <c r="F82" s="328"/>
      <c r="G82" s="328"/>
      <c r="H82" s="329"/>
      <c r="I82" s="330"/>
    </row>
    <row r="83" ht="15.0" customHeight="1">
      <c r="A83" s="318"/>
      <c r="B83" s="320"/>
      <c r="C83" s="319"/>
      <c r="D83" s="439"/>
      <c r="E83" s="321"/>
      <c r="F83" s="321"/>
      <c r="G83" s="321"/>
      <c r="H83" s="322"/>
      <c r="I83" s="323"/>
    </row>
    <row r="84" ht="15.0" customHeight="1">
      <c r="A84" s="325"/>
      <c r="B84" s="327"/>
      <c r="C84" s="326"/>
      <c r="D84" s="440"/>
      <c r="E84" s="328"/>
      <c r="F84" s="328"/>
      <c r="G84" s="328"/>
      <c r="H84" s="329"/>
      <c r="I84" s="330"/>
    </row>
    <row r="85" ht="15.0" customHeight="1">
      <c r="A85" s="318"/>
      <c r="B85" s="320"/>
      <c r="C85" s="319"/>
      <c r="D85" s="439"/>
      <c r="E85" s="321"/>
      <c r="F85" s="321"/>
      <c r="G85" s="321"/>
      <c r="H85" s="322"/>
      <c r="I85" s="323"/>
    </row>
    <row r="86" ht="15.0" customHeight="1">
      <c r="A86" s="325"/>
      <c r="B86" s="327"/>
      <c r="C86" s="326"/>
      <c r="D86" s="440"/>
      <c r="E86" s="328"/>
      <c r="F86" s="328"/>
      <c r="G86" s="328"/>
      <c r="H86" s="329"/>
      <c r="I86" s="330"/>
    </row>
    <row r="87" ht="15.0" customHeight="1">
      <c r="A87" s="318"/>
      <c r="B87" s="320"/>
      <c r="C87" s="319"/>
      <c r="D87" s="439"/>
      <c r="E87" s="321"/>
      <c r="F87" s="321"/>
      <c r="G87" s="321"/>
      <c r="H87" s="322"/>
      <c r="I87" s="323"/>
    </row>
    <row r="88" ht="15.0" customHeight="1">
      <c r="A88" s="325"/>
      <c r="B88" s="327"/>
      <c r="C88" s="326"/>
      <c r="D88" s="440"/>
      <c r="E88" s="328"/>
      <c r="F88" s="328"/>
      <c r="G88" s="328"/>
      <c r="H88" s="329"/>
      <c r="I88" s="330"/>
    </row>
    <row r="89" ht="15.0" customHeight="1">
      <c r="A89" s="318"/>
      <c r="B89" s="320"/>
      <c r="C89" s="319"/>
      <c r="D89" s="439"/>
      <c r="E89" s="321"/>
      <c r="F89" s="321"/>
      <c r="G89" s="321"/>
      <c r="H89" s="322"/>
      <c r="I89" s="323"/>
    </row>
    <row r="90" ht="15.0" customHeight="1">
      <c r="A90" s="325"/>
      <c r="B90" s="327"/>
      <c r="C90" s="326"/>
      <c r="D90" s="440"/>
      <c r="E90" s="328"/>
      <c r="F90" s="328"/>
      <c r="G90" s="328"/>
      <c r="H90" s="329"/>
      <c r="I90" s="330"/>
    </row>
    <row r="91" ht="15.0" customHeight="1">
      <c r="A91" s="318"/>
      <c r="B91" s="320"/>
      <c r="C91" s="319"/>
      <c r="D91" s="439"/>
      <c r="E91" s="321"/>
      <c r="F91" s="321"/>
      <c r="G91" s="321"/>
      <c r="H91" s="322"/>
      <c r="I91" s="323"/>
    </row>
    <row r="92" ht="15.0" customHeight="1">
      <c r="A92" s="325"/>
      <c r="B92" s="327"/>
      <c r="C92" s="326"/>
      <c r="D92" s="440"/>
      <c r="E92" s="328"/>
      <c r="F92" s="328"/>
      <c r="G92" s="328"/>
      <c r="H92" s="329"/>
      <c r="I92" s="330"/>
    </row>
    <row r="93" ht="15.0" customHeight="1">
      <c r="A93" s="318"/>
      <c r="B93" s="320"/>
      <c r="C93" s="319"/>
      <c r="D93" s="439"/>
      <c r="E93" s="321"/>
      <c r="F93" s="321"/>
      <c r="G93" s="321"/>
      <c r="H93" s="322"/>
      <c r="I93" s="323"/>
    </row>
    <row r="94" ht="15.0" customHeight="1">
      <c r="A94" s="325"/>
      <c r="B94" s="327"/>
      <c r="C94" s="326"/>
      <c r="D94" s="440"/>
      <c r="E94" s="328"/>
      <c r="F94" s="328"/>
      <c r="G94" s="328"/>
      <c r="H94" s="329"/>
      <c r="I94" s="330"/>
    </row>
    <row r="95" ht="15.0" customHeight="1">
      <c r="A95" s="318"/>
      <c r="B95" s="320"/>
      <c r="C95" s="319"/>
      <c r="D95" s="439"/>
      <c r="E95" s="321"/>
      <c r="F95" s="321"/>
      <c r="G95" s="321"/>
      <c r="H95" s="322"/>
      <c r="I95" s="323"/>
    </row>
    <row r="96" ht="15.0" customHeight="1">
      <c r="A96" s="325"/>
      <c r="B96" s="327"/>
      <c r="C96" s="326"/>
      <c r="D96" s="440"/>
      <c r="E96" s="328"/>
      <c r="F96" s="328"/>
      <c r="G96" s="328"/>
      <c r="H96" s="329"/>
      <c r="I96" s="330"/>
    </row>
    <row r="97" ht="15.0" customHeight="1">
      <c r="A97" s="318"/>
      <c r="B97" s="320"/>
      <c r="C97" s="319"/>
      <c r="D97" s="439"/>
      <c r="E97" s="321"/>
      <c r="F97" s="321"/>
      <c r="G97" s="321"/>
      <c r="H97" s="322"/>
      <c r="I97" s="323"/>
    </row>
    <row r="98" ht="15.0" customHeight="1">
      <c r="A98" s="325"/>
      <c r="B98" s="327"/>
      <c r="C98" s="326"/>
      <c r="D98" s="440"/>
      <c r="E98" s="328"/>
      <c r="F98" s="328"/>
      <c r="G98" s="328"/>
      <c r="H98" s="329"/>
      <c r="I98" s="330"/>
    </row>
    <row r="99" ht="15.0" customHeight="1">
      <c r="A99" s="318"/>
      <c r="B99" s="320"/>
      <c r="C99" s="319"/>
      <c r="D99" s="439"/>
      <c r="E99" s="321"/>
      <c r="F99" s="321"/>
      <c r="G99" s="321"/>
      <c r="H99" s="322"/>
      <c r="I99" s="323"/>
    </row>
    <row r="100" ht="15.0" customHeight="1">
      <c r="A100" s="325"/>
      <c r="B100" s="327"/>
      <c r="C100" s="326"/>
      <c r="D100" s="440"/>
      <c r="E100" s="328"/>
      <c r="F100" s="328"/>
      <c r="G100" s="328"/>
      <c r="H100" s="329"/>
      <c r="I100" s="330"/>
    </row>
    <row r="101" ht="15.0" customHeight="1">
      <c r="A101" s="318"/>
      <c r="B101" s="320"/>
      <c r="C101" s="319"/>
      <c r="D101" s="439"/>
      <c r="E101" s="321"/>
      <c r="F101" s="321"/>
      <c r="G101" s="321"/>
      <c r="H101" s="322"/>
      <c r="I101" s="323"/>
    </row>
    <row r="102" ht="15.0" customHeight="1">
      <c r="A102" s="325"/>
      <c r="B102" s="327"/>
      <c r="C102" s="326"/>
      <c r="D102" s="440"/>
      <c r="E102" s="328"/>
      <c r="F102" s="328"/>
      <c r="G102" s="328"/>
      <c r="H102" s="329"/>
      <c r="I102" s="330"/>
    </row>
    <row r="103" ht="15.0" customHeight="1">
      <c r="A103" s="318"/>
      <c r="B103" s="320"/>
      <c r="C103" s="319"/>
      <c r="D103" s="439"/>
      <c r="E103" s="321"/>
      <c r="F103" s="321"/>
      <c r="G103" s="321"/>
      <c r="H103" s="322"/>
      <c r="I103" s="323"/>
    </row>
    <row r="104" ht="15.0" customHeight="1">
      <c r="A104" s="325"/>
      <c r="B104" s="327"/>
      <c r="C104" s="326"/>
      <c r="D104" s="440"/>
      <c r="E104" s="328"/>
      <c r="F104" s="328"/>
      <c r="G104" s="328"/>
      <c r="H104" s="329"/>
      <c r="I104" s="330"/>
    </row>
    <row r="105" ht="15.0" customHeight="1">
      <c r="A105" s="318"/>
      <c r="B105" s="320"/>
      <c r="C105" s="319"/>
      <c r="D105" s="439"/>
      <c r="E105" s="321"/>
      <c r="F105" s="321"/>
      <c r="G105" s="321"/>
      <c r="H105" s="322"/>
      <c r="I105" s="323"/>
    </row>
    <row r="106" ht="15.0" customHeight="1">
      <c r="A106" s="325"/>
      <c r="B106" s="327"/>
      <c r="C106" s="326"/>
      <c r="D106" s="440"/>
      <c r="E106" s="328"/>
      <c r="F106" s="328"/>
      <c r="G106" s="328"/>
      <c r="H106" s="329"/>
      <c r="I106" s="330"/>
    </row>
    <row r="107" ht="15.0" customHeight="1">
      <c r="A107" s="318"/>
      <c r="B107" s="320"/>
      <c r="C107" s="319"/>
      <c r="D107" s="439"/>
      <c r="E107" s="321"/>
      <c r="F107" s="321"/>
      <c r="G107" s="321"/>
      <c r="H107" s="322"/>
      <c r="I107" s="323"/>
    </row>
    <row r="108" ht="15.0" customHeight="1">
      <c r="A108" s="325"/>
      <c r="B108" s="327"/>
      <c r="C108" s="326"/>
      <c r="D108" s="440"/>
      <c r="E108" s="328"/>
      <c r="F108" s="328"/>
      <c r="G108" s="328"/>
      <c r="H108" s="329"/>
      <c r="I108" s="330"/>
    </row>
    <row r="109" ht="15.0" customHeight="1">
      <c r="A109" s="318"/>
      <c r="B109" s="320"/>
      <c r="C109" s="319"/>
      <c r="D109" s="439"/>
      <c r="E109" s="321"/>
      <c r="F109" s="321"/>
      <c r="G109" s="321"/>
      <c r="H109" s="322"/>
      <c r="I109" s="323"/>
    </row>
    <row r="110" ht="15.0" customHeight="1">
      <c r="A110" s="325"/>
      <c r="B110" s="327"/>
      <c r="C110" s="326"/>
      <c r="D110" s="440"/>
      <c r="E110" s="328"/>
      <c r="F110" s="328"/>
      <c r="G110" s="328"/>
      <c r="H110" s="329"/>
      <c r="I110" s="330"/>
    </row>
    <row r="111" ht="15.0" customHeight="1">
      <c r="A111" s="318"/>
      <c r="B111" s="320"/>
      <c r="C111" s="319"/>
      <c r="D111" s="439"/>
      <c r="E111" s="321"/>
      <c r="F111" s="321"/>
      <c r="G111" s="321"/>
      <c r="H111" s="322"/>
      <c r="I111" s="323"/>
    </row>
    <row r="112" ht="15.0" customHeight="1">
      <c r="A112" s="325"/>
      <c r="B112" s="327"/>
      <c r="C112" s="326"/>
      <c r="D112" s="440"/>
      <c r="E112" s="328"/>
      <c r="F112" s="328"/>
      <c r="G112" s="328"/>
      <c r="H112" s="329"/>
      <c r="I112" s="330"/>
    </row>
    <row r="113" ht="15.0" customHeight="1">
      <c r="A113" s="318"/>
      <c r="B113" s="320"/>
      <c r="C113" s="319"/>
      <c r="D113" s="439"/>
      <c r="E113" s="321"/>
      <c r="F113" s="321"/>
      <c r="G113" s="321"/>
      <c r="H113" s="322"/>
      <c r="I113" s="323"/>
    </row>
    <row r="114" ht="15.0" customHeight="1">
      <c r="A114" s="325"/>
      <c r="B114" s="327"/>
      <c r="C114" s="326"/>
      <c r="D114" s="440"/>
      <c r="E114" s="328"/>
      <c r="F114" s="328"/>
      <c r="G114" s="328"/>
      <c r="H114" s="329"/>
      <c r="I114" s="330"/>
    </row>
    <row r="115" ht="15.0" customHeight="1">
      <c r="A115" s="318"/>
      <c r="B115" s="320"/>
      <c r="C115" s="319"/>
      <c r="D115" s="439"/>
      <c r="E115" s="321"/>
      <c r="F115" s="321"/>
      <c r="G115" s="321"/>
      <c r="H115" s="322"/>
      <c r="I115" s="323"/>
    </row>
    <row r="116" ht="15.0" customHeight="1">
      <c r="A116" s="325"/>
      <c r="B116" s="327"/>
      <c r="C116" s="326"/>
      <c r="D116" s="440"/>
      <c r="E116" s="328"/>
      <c r="F116" s="328"/>
      <c r="G116" s="328"/>
      <c r="H116" s="329"/>
      <c r="I116" s="330"/>
    </row>
    <row r="117" ht="15.0" customHeight="1">
      <c r="A117" s="318"/>
      <c r="B117" s="320"/>
      <c r="C117" s="319"/>
      <c r="D117" s="439"/>
      <c r="E117" s="321"/>
      <c r="F117" s="321"/>
      <c r="G117" s="321"/>
      <c r="H117" s="322"/>
      <c r="I117" s="323"/>
    </row>
    <row r="118" ht="15.0" customHeight="1">
      <c r="A118" s="325"/>
      <c r="B118" s="327"/>
      <c r="C118" s="326"/>
      <c r="D118" s="440"/>
      <c r="E118" s="328"/>
      <c r="F118" s="328"/>
      <c r="G118" s="328"/>
      <c r="H118" s="329"/>
      <c r="I118" s="330"/>
    </row>
    <row r="119" ht="15.0" customHeight="1">
      <c r="A119" s="318"/>
      <c r="B119" s="320"/>
      <c r="C119" s="319"/>
      <c r="D119" s="439"/>
      <c r="E119" s="321"/>
      <c r="F119" s="321"/>
      <c r="G119" s="321"/>
      <c r="H119" s="322"/>
      <c r="I119" s="323"/>
    </row>
    <row r="120" ht="15.0" customHeight="1">
      <c r="A120" s="325"/>
      <c r="B120" s="327"/>
      <c r="C120" s="326"/>
      <c r="D120" s="440"/>
      <c r="E120" s="328"/>
      <c r="F120" s="328"/>
      <c r="G120" s="328"/>
      <c r="H120" s="329"/>
      <c r="I120" s="330"/>
    </row>
    <row r="121" ht="15.0" customHeight="1">
      <c r="A121" s="318"/>
      <c r="B121" s="320"/>
      <c r="C121" s="319"/>
      <c r="D121" s="439"/>
      <c r="E121" s="321"/>
      <c r="F121" s="321"/>
      <c r="G121" s="321"/>
      <c r="H121" s="322"/>
      <c r="I121" s="323"/>
    </row>
    <row r="122" ht="15.0" customHeight="1">
      <c r="A122" s="325"/>
      <c r="B122" s="327"/>
      <c r="C122" s="326"/>
      <c r="D122" s="440"/>
      <c r="E122" s="328"/>
      <c r="F122" s="328"/>
      <c r="G122" s="328"/>
      <c r="H122" s="329"/>
      <c r="I122" s="330"/>
    </row>
    <row r="123" ht="15.0" customHeight="1">
      <c r="A123" s="318"/>
      <c r="B123" s="320"/>
      <c r="C123" s="319"/>
      <c r="D123" s="439"/>
      <c r="E123" s="321"/>
      <c r="F123" s="321"/>
      <c r="G123" s="321"/>
      <c r="H123" s="322"/>
      <c r="I123" s="323"/>
    </row>
    <row r="124" ht="15.0" customHeight="1">
      <c r="A124" s="325"/>
      <c r="B124" s="327"/>
      <c r="C124" s="326"/>
      <c r="D124" s="440"/>
      <c r="E124" s="328"/>
      <c r="F124" s="328"/>
      <c r="G124" s="328"/>
      <c r="H124" s="329"/>
      <c r="I124" s="330"/>
    </row>
    <row r="125" ht="15.0" customHeight="1">
      <c r="A125" s="318"/>
      <c r="B125" s="320"/>
      <c r="C125" s="319"/>
      <c r="D125" s="439"/>
      <c r="E125" s="321"/>
      <c r="F125" s="321"/>
      <c r="G125" s="321"/>
      <c r="H125" s="322"/>
      <c r="I125" s="323"/>
    </row>
    <row r="126" ht="15.0" customHeight="1">
      <c r="A126" s="325"/>
      <c r="B126" s="327"/>
      <c r="C126" s="326"/>
      <c r="D126" s="440"/>
      <c r="E126" s="328"/>
      <c r="F126" s="328"/>
      <c r="G126" s="328"/>
      <c r="H126" s="329"/>
      <c r="I126" s="330"/>
    </row>
    <row r="127" ht="15.0" customHeight="1">
      <c r="A127" s="318"/>
      <c r="B127" s="320"/>
      <c r="C127" s="319"/>
      <c r="D127" s="439"/>
      <c r="E127" s="321"/>
      <c r="F127" s="321"/>
      <c r="G127" s="321"/>
      <c r="H127" s="322"/>
      <c r="I127" s="323"/>
    </row>
    <row r="128" ht="6.0" customHeight="1">
      <c r="A128" s="334"/>
      <c r="B128" s="334"/>
      <c r="C128" s="334"/>
      <c r="D128" s="441"/>
      <c r="E128" s="336"/>
      <c r="F128" s="336"/>
      <c r="G128" s="336"/>
      <c r="H128" s="334"/>
      <c r="I128" s="334"/>
    </row>
    <row r="129" ht="21.75" customHeight="1">
      <c r="A129" s="442" t="s">
        <v>517</v>
      </c>
      <c r="B129" s="56"/>
      <c r="C129" s="443"/>
      <c r="D129" s="444"/>
      <c r="E129" s="445"/>
      <c r="F129" s="446" t="s">
        <v>571</v>
      </c>
      <c r="G129" s="447">
        <f>SUM(G130:G190)</f>
        <v>0</v>
      </c>
      <c r="H129" s="443"/>
      <c r="I129" s="443"/>
    </row>
    <row r="130" ht="15.0" customHeight="1">
      <c r="A130" s="337"/>
      <c r="B130" s="339"/>
      <c r="C130" s="338"/>
      <c r="D130" s="448"/>
      <c r="E130" s="340"/>
      <c r="F130" s="340"/>
      <c r="G130" s="340"/>
      <c r="H130" s="341"/>
      <c r="I130" s="342"/>
    </row>
    <row r="131" ht="15.0" customHeight="1">
      <c r="A131" s="344"/>
      <c r="B131" s="346"/>
      <c r="C131" s="345"/>
      <c r="D131" s="449"/>
      <c r="E131" s="347"/>
      <c r="F131" s="347"/>
      <c r="G131" s="347"/>
      <c r="H131" s="348"/>
      <c r="I131" s="349"/>
    </row>
    <row r="132" ht="15.0" customHeight="1">
      <c r="A132" s="337"/>
      <c r="B132" s="339"/>
      <c r="C132" s="338"/>
      <c r="D132" s="448"/>
      <c r="E132" s="340"/>
      <c r="F132" s="340"/>
      <c r="G132" s="340"/>
      <c r="H132" s="341"/>
      <c r="I132" s="342"/>
    </row>
    <row r="133" ht="15.0" customHeight="1">
      <c r="A133" s="344"/>
      <c r="B133" s="346"/>
      <c r="C133" s="345"/>
      <c r="D133" s="449"/>
      <c r="E133" s="347"/>
      <c r="F133" s="347"/>
      <c r="G133" s="347"/>
      <c r="H133" s="348"/>
      <c r="I133" s="349"/>
    </row>
    <row r="134" ht="15.0" customHeight="1">
      <c r="A134" s="337"/>
      <c r="B134" s="339"/>
      <c r="C134" s="338"/>
      <c r="D134" s="448"/>
      <c r="E134" s="340"/>
      <c r="F134" s="340"/>
      <c r="G134" s="340"/>
      <c r="H134" s="341"/>
      <c r="I134" s="342"/>
    </row>
    <row r="135" ht="15.0" customHeight="1">
      <c r="A135" s="344"/>
      <c r="B135" s="346"/>
      <c r="C135" s="345"/>
      <c r="D135" s="449"/>
      <c r="E135" s="347"/>
      <c r="F135" s="347"/>
      <c r="G135" s="347"/>
      <c r="H135" s="348"/>
      <c r="I135" s="349"/>
    </row>
    <row r="136" ht="15.0" customHeight="1">
      <c r="A136" s="337"/>
      <c r="B136" s="339"/>
      <c r="C136" s="338"/>
      <c r="D136" s="448"/>
      <c r="E136" s="340"/>
      <c r="F136" s="340"/>
      <c r="G136" s="340"/>
      <c r="H136" s="341"/>
      <c r="I136" s="342"/>
    </row>
    <row r="137" ht="15.0" customHeight="1">
      <c r="A137" s="344"/>
      <c r="B137" s="346"/>
      <c r="C137" s="345"/>
      <c r="D137" s="449"/>
      <c r="E137" s="347"/>
      <c r="F137" s="347"/>
      <c r="G137" s="347"/>
      <c r="H137" s="348"/>
      <c r="I137" s="349"/>
    </row>
    <row r="138" ht="15.0" customHeight="1">
      <c r="A138" s="337"/>
      <c r="B138" s="339"/>
      <c r="C138" s="338"/>
      <c r="D138" s="448"/>
      <c r="E138" s="340"/>
      <c r="F138" s="340"/>
      <c r="G138" s="340"/>
      <c r="H138" s="341"/>
      <c r="I138" s="342"/>
    </row>
    <row r="139" ht="15.0" customHeight="1">
      <c r="A139" s="344"/>
      <c r="B139" s="346"/>
      <c r="C139" s="345"/>
      <c r="D139" s="449"/>
      <c r="E139" s="347"/>
      <c r="F139" s="347"/>
      <c r="G139" s="347"/>
      <c r="H139" s="348"/>
      <c r="I139" s="349"/>
    </row>
    <row r="140" ht="15.0" customHeight="1">
      <c r="A140" s="337"/>
      <c r="B140" s="339"/>
      <c r="C140" s="338"/>
      <c r="D140" s="448"/>
      <c r="E140" s="340"/>
      <c r="F140" s="340"/>
      <c r="G140" s="340"/>
      <c r="H140" s="341"/>
      <c r="I140" s="342"/>
    </row>
    <row r="141" ht="15.0" customHeight="1">
      <c r="A141" s="344"/>
      <c r="B141" s="346"/>
      <c r="C141" s="345"/>
      <c r="D141" s="449"/>
      <c r="E141" s="347"/>
      <c r="F141" s="347"/>
      <c r="G141" s="347"/>
      <c r="H141" s="348"/>
      <c r="I141" s="349"/>
    </row>
    <row r="142" ht="15.0" customHeight="1">
      <c r="A142" s="337"/>
      <c r="B142" s="339"/>
      <c r="C142" s="338"/>
      <c r="D142" s="448"/>
      <c r="E142" s="340"/>
      <c r="F142" s="340"/>
      <c r="G142" s="340"/>
      <c r="H142" s="341"/>
      <c r="I142" s="342"/>
    </row>
    <row r="143" ht="15.0" customHeight="1">
      <c r="A143" s="344"/>
      <c r="B143" s="346"/>
      <c r="C143" s="345"/>
      <c r="D143" s="449"/>
      <c r="E143" s="347"/>
      <c r="F143" s="347"/>
      <c r="G143" s="347"/>
      <c r="H143" s="348"/>
      <c r="I143" s="349"/>
    </row>
    <row r="144" ht="15.0" customHeight="1">
      <c r="A144" s="337"/>
      <c r="B144" s="339"/>
      <c r="C144" s="338"/>
      <c r="D144" s="448"/>
      <c r="E144" s="340"/>
      <c r="F144" s="340"/>
      <c r="G144" s="340"/>
      <c r="H144" s="341"/>
      <c r="I144" s="342"/>
    </row>
    <row r="145" ht="15.0" customHeight="1">
      <c r="A145" s="344"/>
      <c r="B145" s="346"/>
      <c r="C145" s="345"/>
      <c r="D145" s="449"/>
      <c r="E145" s="347"/>
      <c r="F145" s="347"/>
      <c r="G145" s="347"/>
      <c r="H145" s="348"/>
      <c r="I145" s="349"/>
    </row>
    <row r="146" ht="15.0" customHeight="1">
      <c r="A146" s="337"/>
      <c r="B146" s="339"/>
      <c r="C146" s="338"/>
      <c r="D146" s="448"/>
      <c r="E146" s="340"/>
      <c r="F146" s="340"/>
      <c r="G146" s="340"/>
      <c r="H146" s="341"/>
      <c r="I146" s="342"/>
    </row>
    <row r="147" ht="15.0" customHeight="1">
      <c r="A147" s="344"/>
      <c r="B147" s="346"/>
      <c r="C147" s="345"/>
      <c r="D147" s="449"/>
      <c r="E147" s="347"/>
      <c r="F147" s="347"/>
      <c r="G147" s="347"/>
      <c r="H147" s="348"/>
      <c r="I147" s="349"/>
    </row>
    <row r="148" ht="15.0" customHeight="1">
      <c r="A148" s="337"/>
      <c r="B148" s="339"/>
      <c r="C148" s="338"/>
      <c r="D148" s="448"/>
      <c r="E148" s="340"/>
      <c r="F148" s="340"/>
      <c r="G148" s="340"/>
      <c r="H148" s="341"/>
      <c r="I148" s="342"/>
    </row>
    <row r="149" ht="15.0" customHeight="1">
      <c r="A149" s="344"/>
      <c r="B149" s="346"/>
      <c r="C149" s="345"/>
      <c r="D149" s="449"/>
      <c r="E149" s="347"/>
      <c r="F149" s="347"/>
      <c r="G149" s="347"/>
      <c r="H149" s="348"/>
      <c r="I149" s="349"/>
    </row>
    <row r="150" ht="15.0" customHeight="1">
      <c r="A150" s="337"/>
      <c r="B150" s="339"/>
      <c r="C150" s="338"/>
      <c r="D150" s="448"/>
      <c r="E150" s="340"/>
      <c r="F150" s="340"/>
      <c r="G150" s="340"/>
      <c r="H150" s="341"/>
      <c r="I150" s="342"/>
    </row>
    <row r="151" ht="15.0" customHeight="1">
      <c r="A151" s="344"/>
      <c r="B151" s="346"/>
      <c r="C151" s="345"/>
      <c r="D151" s="449"/>
      <c r="E151" s="347"/>
      <c r="F151" s="347"/>
      <c r="G151" s="347"/>
      <c r="H151" s="348"/>
      <c r="I151" s="349"/>
    </row>
    <row r="152" ht="15.0" customHeight="1">
      <c r="A152" s="337"/>
      <c r="B152" s="339"/>
      <c r="C152" s="338"/>
      <c r="D152" s="448"/>
      <c r="E152" s="340"/>
      <c r="F152" s="340"/>
      <c r="G152" s="340"/>
      <c r="H152" s="341"/>
      <c r="I152" s="342"/>
    </row>
    <row r="153" ht="15.0" customHeight="1">
      <c r="A153" s="344"/>
      <c r="B153" s="346"/>
      <c r="C153" s="345"/>
      <c r="D153" s="449"/>
      <c r="E153" s="347"/>
      <c r="F153" s="347"/>
      <c r="G153" s="347"/>
      <c r="H153" s="348"/>
      <c r="I153" s="349"/>
    </row>
    <row r="154" ht="15.0" customHeight="1">
      <c r="A154" s="337"/>
      <c r="B154" s="339"/>
      <c r="C154" s="338"/>
      <c r="D154" s="448"/>
      <c r="E154" s="340"/>
      <c r="F154" s="340"/>
      <c r="G154" s="340"/>
      <c r="H154" s="341"/>
      <c r="I154" s="342"/>
    </row>
    <row r="155" ht="15.0" customHeight="1">
      <c r="A155" s="344"/>
      <c r="B155" s="346"/>
      <c r="C155" s="345"/>
      <c r="D155" s="449"/>
      <c r="E155" s="347"/>
      <c r="F155" s="347"/>
      <c r="G155" s="347"/>
      <c r="H155" s="348"/>
      <c r="I155" s="349"/>
    </row>
    <row r="156" ht="15.0" customHeight="1">
      <c r="A156" s="337"/>
      <c r="B156" s="339"/>
      <c r="C156" s="338"/>
      <c r="D156" s="448"/>
      <c r="E156" s="340"/>
      <c r="F156" s="340"/>
      <c r="G156" s="340"/>
      <c r="H156" s="341"/>
      <c r="I156" s="342"/>
    </row>
    <row r="157" ht="15.0" customHeight="1">
      <c r="A157" s="344"/>
      <c r="B157" s="346"/>
      <c r="C157" s="345"/>
      <c r="D157" s="449"/>
      <c r="E157" s="347"/>
      <c r="F157" s="347"/>
      <c r="G157" s="347"/>
      <c r="H157" s="348"/>
      <c r="I157" s="349"/>
    </row>
    <row r="158" ht="15.0" customHeight="1">
      <c r="A158" s="337"/>
      <c r="B158" s="339"/>
      <c r="C158" s="338"/>
      <c r="D158" s="448"/>
      <c r="E158" s="340"/>
      <c r="F158" s="340"/>
      <c r="G158" s="340"/>
      <c r="H158" s="341"/>
      <c r="I158" s="342"/>
    </row>
    <row r="159" ht="15.0" customHeight="1">
      <c r="A159" s="344"/>
      <c r="B159" s="346"/>
      <c r="C159" s="345"/>
      <c r="D159" s="449"/>
      <c r="E159" s="347"/>
      <c r="F159" s="347"/>
      <c r="G159" s="347"/>
      <c r="H159" s="348"/>
      <c r="I159" s="349"/>
    </row>
    <row r="160" ht="15.0" customHeight="1">
      <c r="A160" s="337"/>
      <c r="B160" s="339"/>
      <c r="C160" s="338"/>
      <c r="D160" s="448"/>
      <c r="E160" s="340"/>
      <c r="F160" s="340"/>
      <c r="G160" s="340"/>
      <c r="H160" s="341"/>
      <c r="I160" s="342"/>
    </row>
    <row r="161" ht="15.0" customHeight="1">
      <c r="A161" s="344"/>
      <c r="B161" s="346"/>
      <c r="C161" s="345"/>
      <c r="D161" s="449"/>
      <c r="E161" s="347"/>
      <c r="F161" s="347"/>
      <c r="G161" s="347"/>
      <c r="H161" s="348"/>
      <c r="I161" s="349"/>
    </row>
    <row r="162" ht="15.0" customHeight="1">
      <c r="A162" s="337"/>
      <c r="B162" s="339"/>
      <c r="C162" s="338"/>
      <c r="D162" s="448"/>
      <c r="E162" s="340"/>
      <c r="F162" s="340"/>
      <c r="G162" s="340"/>
      <c r="H162" s="341"/>
      <c r="I162" s="342"/>
    </row>
    <row r="163" ht="15.0" customHeight="1">
      <c r="A163" s="344"/>
      <c r="B163" s="346"/>
      <c r="C163" s="345"/>
      <c r="D163" s="449"/>
      <c r="E163" s="347"/>
      <c r="F163" s="347"/>
      <c r="G163" s="347"/>
      <c r="H163" s="348"/>
      <c r="I163" s="349"/>
    </row>
    <row r="164" ht="15.0" customHeight="1">
      <c r="A164" s="337"/>
      <c r="B164" s="339"/>
      <c r="C164" s="338"/>
      <c r="D164" s="448"/>
      <c r="E164" s="340"/>
      <c r="F164" s="340"/>
      <c r="G164" s="340"/>
      <c r="H164" s="341"/>
      <c r="I164" s="342"/>
    </row>
    <row r="165" ht="15.0" customHeight="1">
      <c r="A165" s="344"/>
      <c r="B165" s="346"/>
      <c r="C165" s="345"/>
      <c r="D165" s="449"/>
      <c r="E165" s="347"/>
      <c r="F165" s="347"/>
      <c r="G165" s="347"/>
      <c r="H165" s="348"/>
      <c r="I165" s="349"/>
    </row>
    <row r="166" ht="15.0" customHeight="1">
      <c r="A166" s="337"/>
      <c r="B166" s="339"/>
      <c r="C166" s="338"/>
      <c r="D166" s="448"/>
      <c r="E166" s="340"/>
      <c r="F166" s="340"/>
      <c r="G166" s="340"/>
      <c r="H166" s="341"/>
      <c r="I166" s="342"/>
    </row>
    <row r="167" ht="15.0" customHeight="1">
      <c r="A167" s="344"/>
      <c r="B167" s="346"/>
      <c r="C167" s="345"/>
      <c r="D167" s="449"/>
      <c r="E167" s="347"/>
      <c r="F167" s="347"/>
      <c r="G167" s="347"/>
      <c r="H167" s="348"/>
      <c r="I167" s="349"/>
    </row>
    <row r="168" ht="15.0" customHeight="1">
      <c r="A168" s="337"/>
      <c r="B168" s="339"/>
      <c r="C168" s="338"/>
      <c r="D168" s="448"/>
      <c r="E168" s="340"/>
      <c r="F168" s="340"/>
      <c r="G168" s="340"/>
      <c r="H168" s="341"/>
      <c r="I168" s="342"/>
    </row>
    <row r="169" ht="15.0" customHeight="1">
      <c r="A169" s="344"/>
      <c r="B169" s="346"/>
      <c r="C169" s="345"/>
      <c r="D169" s="449"/>
      <c r="E169" s="347"/>
      <c r="F169" s="347"/>
      <c r="G169" s="347"/>
      <c r="H169" s="348"/>
      <c r="I169" s="349"/>
    </row>
    <row r="170" ht="15.0" customHeight="1">
      <c r="A170" s="337"/>
      <c r="B170" s="339"/>
      <c r="C170" s="338"/>
      <c r="D170" s="448"/>
      <c r="E170" s="340"/>
      <c r="F170" s="340"/>
      <c r="G170" s="340"/>
      <c r="H170" s="341"/>
      <c r="I170" s="342"/>
    </row>
    <row r="171" ht="15.0" customHeight="1">
      <c r="A171" s="344"/>
      <c r="B171" s="346"/>
      <c r="C171" s="345"/>
      <c r="D171" s="449"/>
      <c r="E171" s="347"/>
      <c r="F171" s="347"/>
      <c r="G171" s="347"/>
      <c r="H171" s="348"/>
      <c r="I171" s="349"/>
    </row>
    <row r="172" ht="15.0" customHeight="1">
      <c r="A172" s="337"/>
      <c r="B172" s="339"/>
      <c r="C172" s="338"/>
      <c r="D172" s="448"/>
      <c r="E172" s="340"/>
      <c r="F172" s="340"/>
      <c r="G172" s="340"/>
      <c r="H172" s="341"/>
      <c r="I172" s="342"/>
    </row>
    <row r="173" ht="15.0" customHeight="1">
      <c r="A173" s="344"/>
      <c r="B173" s="346"/>
      <c r="C173" s="345"/>
      <c r="D173" s="449"/>
      <c r="E173" s="347"/>
      <c r="F173" s="347"/>
      <c r="G173" s="347"/>
      <c r="H173" s="348"/>
      <c r="I173" s="349"/>
    </row>
    <row r="174" ht="15.0" customHeight="1">
      <c r="A174" s="337"/>
      <c r="B174" s="339"/>
      <c r="C174" s="338"/>
      <c r="D174" s="448"/>
      <c r="E174" s="340"/>
      <c r="F174" s="340"/>
      <c r="G174" s="340"/>
      <c r="H174" s="341"/>
      <c r="I174" s="342"/>
    </row>
    <row r="175" ht="15.0" customHeight="1">
      <c r="A175" s="344"/>
      <c r="B175" s="346"/>
      <c r="C175" s="345"/>
      <c r="D175" s="449"/>
      <c r="E175" s="347"/>
      <c r="F175" s="347"/>
      <c r="G175" s="347"/>
      <c r="H175" s="348"/>
      <c r="I175" s="349"/>
    </row>
    <row r="176" ht="15.0" customHeight="1">
      <c r="A176" s="337"/>
      <c r="B176" s="339"/>
      <c r="C176" s="338"/>
      <c r="D176" s="448"/>
      <c r="E176" s="340"/>
      <c r="F176" s="340"/>
      <c r="G176" s="340"/>
      <c r="H176" s="341"/>
      <c r="I176" s="342"/>
    </row>
    <row r="177" ht="15.0" customHeight="1">
      <c r="A177" s="344"/>
      <c r="B177" s="346"/>
      <c r="C177" s="345"/>
      <c r="D177" s="449"/>
      <c r="E177" s="347"/>
      <c r="F177" s="347"/>
      <c r="G177" s="347"/>
      <c r="H177" s="348"/>
      <c r="I177" s="349"/>
    </row>
    <row r="178" ht="15.0" customHeight="1">
      <c r="A178" s="337"/>
      <c r="B178" s="339"/>
      <c r="C178" s="338"/>
      <c r="D178" s="448"/>
      <c r="E178" s="340"/>
      <c r="F178" s="340"/>
      <c r="G178" s="340"/>
      <c r="H178" s="341"/>
      <c r="I178" s="342"/>
    </row>
    <row r="179" ht="15.0" customHeight="1">
      <c r="A179" s="344"/>
      <c r="B179" s="346"/>
      <c r="C179" s="345"/>
      <c r="D179" s="449"/>
      <c r="E179" s="347"/>
      <c r="F179" s="347"/>
      <c r="G179" s="347"/>
      <c r="H179" s="348"/>
      <c r="I179" s="349"/>
    </row>
    <row r="180" ht="15.0" customHeight="1">
      <c r="A180" s="337"/>
      <c r="B180" s="339"/>
      <c r="C180" s="338"/>
      <c r="D180" s="448"/>
      <c r="E180" s="340"/>
      <c r="F180" s="340"/>
      <c r="G180" s="340"/>
      <c r="H180" s="341"/>
      <c r="I180" s="342"/>
    </row>
    <row r="181" ht="15.0" customHeight="1">
      <c r="A181" s="344"/>
      <c r="B181" s="346"/>
      <c r="C181" s="345"/>
      <c r="D181" s="449"/>
      <c r="E181" s="347"/>
      <c r="F181" s="347"/>
      <c r="G181" s="347"/>
      <c r="H181" s="348"/>
      <c r="I181" s="349"/>
    </row>
    <row r="182" ht="15.0" customHeight="1">
      <c r="A182" s="337"/>
      <c r="B182" s="339"/>
      <c r="C182" s="338"/>
      <c r="D182" s="448"/>
      <c r="E182" s="340"/>
      <c r="F182" s="340"/>
      <c r="G182" s="340"/>
      <c r="H182" s="341"/>
      <c r="I182" s="342"/>
    </row>
    <row r="183" ht="15.0" customHeight="1">
      <c r="A183" s="344"/>
      <c r="B183" s="346"/>
      <c r="C183" s="345"/>
      <c r="D183" s="449"/>
      <c r="E183" s="347"/>
      <c r="F183" s="347"/>
      <c r="G183" s="347"/>
      <c r="H183" s="348"/>
      <c r="I183" s="349"/>
    </row>
    <row r="184" ht="15.0" customHeight="1">
      <c r="A184" s="337"/>
      <c r="B184" s="339"/>
      <c r="C184" s="338"/>
      <c r="D184" s="448"/>
      <c r="E184" s="340"/>
      <c r="F184" s="340"/>
      <c r="G184" s="340"/>
      <c r="H184" s="341"/>
      <c r="I184" s="342"/>
    </row>
    <row r="185" ht="15.0" customHeight="1">
      <c r="A185" s="344"/>
      <c r="B185" s="346"/>
      <c r="C185" s="345"/>
      <c r="D185" s="449"/>
      <c r="E185" s="347"/>
      <c r="F185" s="347"/>
      <c r="G185" s="347"/>
      <c r="H185" s="348"/>
      <c r="I185" s="349"/>
    </row>
    <row r="186" ht="15.0" customHeight="1">
      <c r="A186" s="337"/>
      <c r="B186" s="339"/>
      <c r="C186" s="338"/>
      <c r="D186" s="448"/>
      <c r="E186" s="340"/>
      <c r="F186" s="340"/>
      <c r="G186" s="340"/>
      <c r="H186" s="341"/>
      <c r="I186" s="342"/>
    </row>
    <row r="187" ht="15.0" customHeight="1">
      <c r="A187" s="344"/>
      <c r="B187" s="346"/>
      <c r="C187" s="345"/>
      <c r="D187" s="449"/>
      <c r="E187" s="347"/>
      <c r="F187" s="347"/>
      <c r="G187" s="347"/>
      <c r="H187" s="348"/>
      <c r="I187" s="349"/>
    </row>
    <row r="188" ht="15.0" customHeight="1">
      <c r="A188" s="337"/>
      <c r="B188" s="339"/>
      <c r="C188" s="338"/>
      <c r="D188" s="448"/>
      <c r="E188" s="340"/>
      <c r="F188" s="340"/>
      <c r="G188" s="340"/>
      <c r="H188" s="341"/>
      <c r="I188" s="342"/>
    </row>
    <row r="189" ht="15.0" customHeight="1">
      <c r="A189" s="344"/>
      <c r="B189" s="346"/>
      <c r="C189" s="345"/>
      <c r="D189" s="449"/>
      <c r="E189" s="347"/>
      <c r="F189" s="347"/>
      <c r="G189" s="347"/>
      <c r="H189" s="348"/>
      <c r="I189" s="349"/>
    </row>
    <row r="190" ht="15.0" customHeight="1">
      <c r="A190" s="337"/>
      <c r="B190" s="339"/>
      <c r="C190" s="338"/>
      <c r="D190" s="448"/>
      <c r="E190" s="340"/>
      <c r="F190" s="340"/>
      <c r="G190" s="340"/>
      <c r="H190" s="341"/>
      <c r="I190" s="342"/>
    </row>
    <row r="191" ht="6.0" customHeight="1">
      <c r="A191" s="334"/>
      <c r="B191" s="334"/>
      <c r="C191" s="334"/>
      <c r="D191" s="441"/>
      <c r="E191" s="336"/>
      <c r="F191" s="336"/>
      <c r="G191" s="336"/>
      <c r="H191" s="334"/>
      <c r="I191" s="334"/>
    </row>
    <row r="192" ht="21.75" customHeight="1">
      <c r="A192" s="450" t="s">
        <v>518</v>
      </c>
      <c r="B192" s="56"/>
      <c r="C192" s="451"/>
      <c r="D192" s="452"/>
      <c r="E192" s="453"/>
      <c r="F192" s="454" t="s">
        <v>570</v>
      </c>
      <c r="G192" s="455">
        <f>SUM(G193:G239)</f>
        <v>0</v>
      </c>
      <c r="H192" s="451"/>
      <c r="I192" s="451"/>
    </row>
    <row r="193" ht="15.0" customHeight="1">
      <c r="A193" s="353"/>
      <c r="B193" s="355"/>
      <c r="C193" s="354"/>
      <c r="D193" s="456"/>
      <c r="E193" s="356"/>
      <c r="F193" s="356"/>
      <c r="G193" s="356"/>
      <c r="H193" s="357"/>
      <c r="I193" s="358"/>
    </row>
    <row r="194" ht="15.0" customHeight="1">
      <c r="A194" s="360"/>
      <c r="B194" s="362"/>
      <c r="C194" s="361"/>
      <c r="D194" s="457"/>
      <c r="E194" s="363"/>
      <c r="F194" s="363"/>
      <c r="G194" s="363"/>
      <c r="H194" s="364"/>
      <c r="I194" s="365"/>
    </row>
    <row r="195" ht="15.0" customHeight="1">
      <c r="A195" s="353"/>
      <c r="B195" s="355"/>
      <c r="C195" s="354"/>
      <c r="D195" s="456"/>
      <c r="E195" s="356"/>
      <c r="F195" s="356"/>
      <c r="G195" s="356"/>
      <c r="H195" s="357"/>
      <c r="I195" s="358"/>
    </row>
    <row r="196" ht="15.0" customHeight="1">
      <c r="A196" s="360"/>
      <c r="B196" s="362"/>
      <c r="C196" s="361"/>
      <c r="D196" s="457"/>
      <c r="E196" s="363"/>
      <c r="F196" s="363"/>
      <c r="G196" s="363"/>
      <c r="H196" s="364"/>
      <c r="I196" s="365"/>
    </row>
    <row r="197" ht="15.0" customHeight="1">
      <c r="A197" s="353"/>
      <c r="B197" s="355"/>
      <c r="C197" s="354"/>
      <c r="D197" s="456"/>
      <c r="E197" s="356"/>
      <c r="F197" s="356"/>
      <c r="G197" s="356"/>
      <c r="H197" s="357"/>
      <c r="I197" s="358"/>
    </row>
    <row r="198" ht="15.0" customHeight="1">
      <c r="A198" s="360"/>
      <c r="B198" s="362"/>
      <c r="C198" s="361"/>
      <c r="D198" s="457"/>
      <c r="E198" s="363"/>
      <c r="F198" s="363"/>
      <c r="G198" s="363"/>
      <c r="H198" s="364"/>
      <c r="I198" s="365"/>
    </row>
    <row r="199" ht="15.0" customHeight="1">
      <c r="A199" s="353"/>
      <c r="B199" s="355"/>
      <c r="C199" s="354"/>
      <c r="D199" s="456"/>
      <c r="E199" s="356"/>
      <c r="F199" s="356"/>
      <c r="G199" s="356"/>
      <c r="H199" s="357"/>
      <c r="I199" s="358"/>
    </row>
    <row r="200" ht="15.0" customHeight="1">
      <c r="A200" s="360"/>
      <c r="B200" s="362"/>
      <c r="C200" s="361"/>
      <c r="D200" s="457"/>
      <c r="E200" s="363"/>
      <c r="F200" s="363"/>
      <c r="G200" s="363"/>
      <c r="H200" s="364"/>
      <c r="I200" s="365"/>
    </row>
    <row r="201" ht="15.0" customHeight="1">
      <c r="A201" s="353"/>
      <c r="B201" s="355"/>
      <c r="C201" s="354"/>
      <c r="D201" s="456"/>
      <c r="E201" s="356"/>
      <c r="F201" s="356"/>
      <c r="G201" s="356"/>
      <c r="H201" s="357"/>
      <c r="I201" s="358"/>
    </row>
    <row r="202" ht="15.0" customHeight="1">
      <c r="A202" s="360"/>
      <c r="B202" s="362"/>
      <c r="C202" s="361"/>
      <c r="D202" s="457"/>
      <c r="E202" s="363"/>
      <c r="F202" s="363"/>
      <c r="G202" s="363"/>
      <c r="H202" s="364"/>
      <c r="I202" s="365"/>
    </row>
    <row r="203" ht="15.0" customHeight="1">
      <c r="A203" s="353"/>
      <c r="B203" s="355"/>
      <c r="C203" s="354"/>
      <c r="D203" s="456"/>
      <c r="E203" s="356"/>
      <c r="F203" s="356"/>
      <c r="G203" s="356"/>
      <c r="H203" s="357"/>
      <c r="I203" s="358"/>
    </row>
    <row r="204" ht="15.0" customHeight="1">
      <c r="A204" s="360"/>
      <c r="B204" s="362"/>
      <c r="C204" s="361"/>
      <c r="D204" s="457"/>
      <c r="E204" s="363"/>
      <c r="F204" s="363"/>
      <c r="G204" s="363"/>
      <c r="H204" s="364"/>
      <c r="I204" s="365"/>
    </row>
    <row r="205" ht="15.0" customHeight="1">
      <c r="A205" s="353"/>
      <c r="B205" s="355"/>
      <c r="C205" s="354"/>
      <c r="D205" s="456"/>
      <c r="E205" s="356"/>
      <c r="F205" s="356"/>
      <c r="G205" s="356"/>
      <c r="H205" s="357"/>
      <c r="I205" s="358"/>
    </row>
    <row r="206" ht="15.0" customHeight="1">
      <c r="A206" s="360"/>
      <c r="B206" s="362"/>
      <c r="C206" s="361"/>
      <c r="D206" s="457"/>
      <c r="E206" s="363"/>
      <c r="F206" s="363"/>
      <c r="G206" s="363"/>
      <c r="H206" s="364"/>
      <c r="I206" s="365"/>
    </row>
    <row r="207" ht="15.0" customHeight="1">
      <c r="A207" s="353"/>
      <c r="B207" s="355"/>
      <c r="C207" s="354"/>
      <c r="D207" s="456"/>
      <c r="E207" s="356"/>
      <c r="F207" s="356"/>
      <c r="G207" s="356"/>
      <c r="H207" s="357"/>
      <c r="I207" s="358"/>
    </row>
    <row r="208" ht="15.0" customHeight="1">
      <c r="A208" s="360"/>
      <c r="B208" s="362"/>
      <c r="C208" s="361"/>
      <c r="D208" s="457"/>
      <c r="E208" s="363"/>
      <c r="F208" s="363"/>
      <c r="G208" s="363"/>
      <c r="H208" s="364"/>
      <c r="I208" s="365"/>
    </row>
    <row r="209" ht="15.0" customHeight="1">
      <c r="A209" s="353"/>
      <c r="B209" s="355"/>
      <c r="C209" s="354"/>
      <c r="D209" s="456"/>
      <c r="E209" s="356"/>
      <c r="F209" s="356"/>
      <c r="G209" s="356"/>
      <c r="H209" s="357"/>
      <c r="I209" s="358"/>
    </row>
    <row r="210" ht="15.0" customHeight="1">
      <c r="A210" s="360"/>
      <c r="B210" s="362"/>
      <c r="C210" s="361"/>
      <c r="D210" s="457"/>
      <c r="E210" s="363"/>
      <c r="F210" s="363"/>
      <c r="G210" s="363"/>
      <c r="H210" s="364"/>
      <c r="I210" s="365"/>
    </row>
    <row r="211" ht="15.0" customHeight="1">
      <c r="A211" s="353"/>
      <c r="B211" s="355"/>
      <c r="C211" s="354"/>
      <c r="D211" s="456"/>
      <c r="E211" s="356"/>
      <c r="F211" s="356"/>
      <c r="G211" s="356"/>
      <c r="H211" s="357"/>
      <c r="I211" s="358"/>
    </row>
    <row r="212" ht="15.0" customHeight="1">
      <c r="A212" s="360"/>
      <c r="B212" s="362"/>
      <c r="C212" s="361"/>
      <c r="D212" s="457"/>
      <c r="E212" s="363"/>
      <c r="F212" s="363"/>
      <c r="G212" s="363"/>
      <c r="H212" s="364"/>
      <c r="I212" s="365"/>
    </row>
    <row r="213" ht="15.0" customHeight="1">
      <c r="A213" s="353"/>
      <c r="B213" s="355"/>
      <c r="C213" s="354"/>
      <c r="D213" s="456"/>
      <c r="E213" s="356"/>
      <c r="F213" s="356"/>
      <c r="G213" s="356"/>
      <c r="H213" s="357"/>
      <c r="I213" s="358"/>
    </row>
    <row r="214" ht="15.0" customHeight="1">
      <c r="A214" s="360"/>
      <c r="B214" s="362"/>
      <c r="C214" s="361"/>
      <c r="D214" s="457"/>
      <c r="E214" s="363"/>
      <c r="F214" s="363"/>
      <c r="G214" s="363"/>
      <c r="H214" s="364"/>
      <c r="I214" s="365"/>
    </row>
    <row r="215" ht="15.0" customHeight="1">
      <c r="A215" s="353"/>
      <c r="B215" s="355"/>
      <c r="C215" s="354"/>
      <c r="D215" s="456"/>
      <c r="E215" s="356"/>
      <c r="F215" s="356"/>
      <c r="G215" s="356"/>
      <c r="H215" s="357"/>
      <c r="I215" s="358"/>
    </row>
    <row r="216" ht="15.0" customHeight="1">
      <c r="A216" s="360"/>
      <c r="B216" s="362"/>
      <c r="C216" s="361"/>
      <c r="D216" s="457"/>
      <c r="E216" s="363"/>
      <c r="F216" s="363"/>
      <c r="G216" s="363"/>
      <c r="H216" s="364"/>
      <c r="I216" s="365"/>
    </row>
    <row r="217" ht="15.0" customHeight="1">
      <c r="A217" s="353"/>
      <c r="B217" s="355"/>
      <c r="C217" s="354"/>
      <c r="D217" s="456"/>
      <c r="E217" s="356"/>
      <c r="F217" s="356"/>
      <c r="G217" s="356"/>
      <c r="H217" s="357"/>
      <c r="I217" s="358"/>
    </row>
    <row r="218" ht="15.0" customHeight="1">
      <c r="A218" s="360"/>
      <c r="B218" s="362"/>
      <c r="C218" s="361"/>
      <c r="D218" s="457"/>
      <c r="E218" s="363"/>
      <c r="F218" s="363"/>
      <c r="G218" s="363"/>
      <c r="H218" s="364"/>
      <c r="I218" s="365"/>
    </row>
    <row r="219" ht="15.0" customHeight="1">
      <c r="A219" s="353"/>
      <c r="B219" s="355"/>
      <c r="C219" s="354"/>
      <c r="D219" s="456"/>
      <c r="E219" s="356"/>
      <c r="F219" s="356"/>
      <c r="G219" s="356"/>
      <c r="H219" s="357"/>
      <c r="I219" s="358"/>
    </row>
    <row r="220" ht="15.0" customHeight="1">
      <c r="A220" s="360"/>
      <c r="B220" s="362"/>
      <c r="C220" s="361"/>
      <c r="D220" s="457"/>
      <c r="E220" s="363"/>
      <c r="F220" s="363"/>
      <c r="G220" s="363"/>
      <c r="H220" s="364"/>
      <c r="I220" s="365"/>
    </row>
    <row r="221" ht="15.0" customHeight="1">
      <c r="A221" s="353"/>
      <c r="B221" s="355"/>
      <c r="C221" s="354"/>
      <c r="D221" s="456"/>
      <c r="E221" s="356"/>
      <c r="F221" s="356"/>
      <c r="G221" s="356"/>
      <c r="H221" s="357"/>
      <c r="I221" s="358"/>
    </row>
    <row r="222" ht="15.0" customHeight="1">
      <c r="A222" s="360"/>
      <c r="B222" s="362"/>
      <c r="C222" s="361"/>
      <c r="D222" s="457"/>
      <c r="E222" s="363"/>
      <c r="F222" s="363"/>
      <c r="G222" s="363"/>
      <c r="H222" s="364"/>
      <c r="I222" s="365"/>
    </row>
    <row r="223" ht="15.0" customHeight="1">
      <c r="A223" s="353"/>
      <c r="B223" s="355"/>
      <c r="C223" s="354"/>
      <c r="D223" s="456"/>
      <c r="E223" s="356"/>
      <c r="F223" s="356"/>
      <c r="G223" s="356"/>
      <c r="H223" s="357"/>
      <c r="I223" s="358"/>
    </row>
    <row r="224" ht="15.0" customHeight="1">
      <c r="A224" s="360"/>
      <c r="B224" s="362"/>
      <c r="C224" s="361"/>
      <c r="D224" s="457"/>
      <c r="E224" s="363"/>
      <c r="F224" s="363"/>
      <c r="G224" s="363"/>
      <c r="H224" s="364"/>
      <c r="I224" s="365"/>
    </row>
    <row r="225" ht="15.0" customHeight="1">
      <c r="A225" s="353"/>
      <c r="B225" s="355"/>
      <c r="C225" s="354"/>
      <c r="D225" s="456"/>
      <c r="E225" s="356"/>
      <c r="F225" s="356"/>
      <c r="G225" s="356"/>
      <c r="H225" s="357"/>
      <c r="I225" s="358"/>
    </row>
    <row r="226" ht="15.0" customHeight="1">
      <c r="A226" s="360"/>
      <c r="B226" s="362"/>
      <c r="C226" s="361"/>
      <c r="D226" s="457"/>
      <c r="E226" s="363"/>
      <c r="F226" s="363"/>
      <c r="G226" s="363"/>
      <c r="H226" s="364"/>
      <c r="I226" s="365"/>
    </row>
    <row r="227" ht="15.0" customHeight="1">
      <c r="A227" s="353"/>
      <c r="B227" s="355"/>
      <c r="C227" s="354"/>
      <c r="D227" s="456"/>
      <c r="E227" s="356"/>
      <c r="F227" s="356"/>
      <c r="G227" s="356"/>
      <c r="H227" s="357"/>
      <c r="I227" s="358"/>
    </row>
    <row r="228" ht="15.0" customHeight="1">
      <c r="A228" s="360"/>
      <c r="B228" s="362"/>
      <c r="C228" s="361"/>
      <c r="D228" s="457"/>
      <c r="E228" s="363"/>
      <c r="F228" s="363"/>
      <c r="G228" s="363"/>
      <c r="H228" s="364"/>
      <c r="I228" s="365"/>
    </row>
    <row r="229" ht="15.0" customHeight="1">
      <c r="A229" s="353"/>
      <c r="B229" s="355"/>
      <c r="C229" s="354"/>
      <c r="D229" s="456"/>
      <c r="E229" s="356"/>
      <c r="F229" s="356"/>
      <c r="G229" s="356"/>
      <c r="H229" s="357"/>
      <c r="I229" s="358"/>
    </row>
    <row r="230" ht="15.0" customHeight="1">
      <c r="A230" s="360"/>
      <c r="B230" s="362"/>
      <c r="C230" s="361"/>
      <c r="D230" s="457"/>
      <c r="E230" s="363"/>
      <c r="F230" s="363"/>
      <c r="G230" s="363"/>
      <c r="H230" s="364"/>
      <c r="I230" s="365"/>
    </row>
    <row r="231" ht="15.0" customHeight="1">
      <c r="A231" s="353"/>
      <c r="B231" s="355"/>
      <c r="C231" s="354"/>
      <c r="D231" s="456"/>
      <c r="E231" s="356"/>
      <c r="F231" s="356"/>
      <c r="G231" s="356"/>
      <c r="H231" s="357"/>
      <c r="I231" s="358"/>
    </row>
    <row r="232" ht="15.0" customHeight="1">
      <c r="A232" s="360"/>
      <c r="B232" s="362"/>
      <c r="C232" s="361"/>
      <c r="D232" s="457"/>
      <c r="E232" s="363"/>
      <c r="F232" s="363"/>
      <c r="G232" s="363"/>
      <c r="H232" s="364"/>
      <c r="I232" s="365"/>
    </row>
    <row r="233" ht="15.0" customHeight="1">
      <c r="A233" s="353"/>
      <c r="B233" s="355"/>
      <c r="C233" s="354"/>
      <c r="D233" s="456"/>
      <c r="E233" s="356"/>
      <c r="F233" s="356"/>
      <c r="G233" s="356"/>
      <c r="H233" s="357"/>
      <c r="I233" s="358"/>
    </row>
    <row r="234" ht="15.0" customHeight="1">
      <c r="A234" s="360"/>
      <c r="B234" s="362"/>
      <c r="C234" s="361"/>
      <c r="D234" s="457"/>
      <c r="E234" s="363"/>
      <c r="F234" s="363"/>
      <c r="G234" s="363"/>
      <c r="H234" s="364"/>
      <c r="I234" s="365"/>
    </row>
    <row r="235" ht="15.0" customHeight="1">
      <c r="A235" s="353"/>
      <c r="B235" s="355"/>
      <c r="C235" s="354"/>
      <c r="D235" s="456"/>
      <c r="E235" s="356"/>
      <c r="F235" s="356"/>
      <c r="G235" s="356"/>
      <c r="H235" s="357"/>
      <c r="I235" s="358"/>
    </row>
    <row r="236" ht="15.0" customHeight="1">
      <c r="A236" s="360"/>
      <c r="B236" s="362"/>
      <c r="C236" s="361"/>
      <c r="D236" s="457"/>
      <c r="E236" s="363"/>
      <c r="F236" s="363"/>
      <c r="G236" s="363"/>
      <c r="H236" s="364"/>
      <c r="I236" s="365"/>
    </row>
    <row r="237" ht="15.0" customHeight="1">
      <c r="A237" s="353"/>
      <c r="B237" s="355"/>
      <c r="C237" s="354"/>
      <c r="D237" s="456"/>
      <c r="E237" s="356"/>
      <c r="F237" s="356"/>
      <c r="G237" s="356"/>
      <c r="H237" s="357"/>
      <c r="I237" s="358"/>
    </row>
    <row r="238" ht="15.0" customHeight="1">
      <c r="A238" s="360"/>
      <c r="B238" s="362"/>
      <c r="C238" s="361"/>
      <c r="D238" s="457"/>
      <c r="E238" s="363"/>
      <c r="F238" s="363"/>
      <c r="G238" s="363"/>
      <c r="H238" s="364"/>
      <c r="I238" s="365"/>
    </row>
    <row r="239" ht="15.0" customHeight="1">
      <c r="A239" s="353"/>
      <c r="B239" s="355"/>
      <c r="C239" s="354"/>
      <c r="D239" s="456"/>
      <c r="E239" s="356"/>
      <c r="F239" s="356"/>
      <c r="G239" s="356"/>
      <c r="H239" s="357"/>
      <c r="I239" s="358"/>
    </row>
    <row r="240" ht="6.0" customHeight="1">
      <c r="A240" s="334"/>
      <c r="B240" s="334"/>
      <c r="C240" s="334"/>
      <c r="D240" s="441"/>
      <c r="E240" s="336"/>
      <c r="F240" s="336"/>
      <c r="G240" s="336"/>
      <c r="H240" s="334"/>
      <c r="I240" s="334"/>
    </row>
    <row r="241" ht="21.75" customHeight="1">
      <c r="A241" s="458" t="s">
        <v>519</v>
      </c>
      <c r="B241" s="56"/>
      <c r="C241" s="459"/>
      <c r="D241" s="460"/>
      <c r="E241" s="461"/>
      <c r="F241" s="462" t="s">
        <v>571</v>
      </c>
      <c r="G241" s="463">
        <f>SUM(G242:G303)</f>
        <v>0</v>
      </c>
      <c r="H241" s="459"/>
      <c r="I241" s="459"/>
    </row>
    <row r="242" ht="15.0" customHeight="1">
      <c r="A242" s="369"/>
      <c r="B242" s="371"/>
      <c r="C242" s="370"/>
      <c r="D242" s="464"/>
      <c r="E242" s="372"/>
      <c r="F242" s="372"/>
      <c r="G242" s="372"/>
      <c r="H242" s="373"/>
      <c r="I242" s="374"/>
    </row>
    <row r="243" ht="15.0" customHeight="1">
      <c r="A243" s="376"/>
      <c r="B243" s="378"/>
      <c r="C243" s="377"/>
      <c r="D243" s="465"/>
      <c r="E243" s="379"/>
      <c r="F243" s="379"/>
      <c r="G243" s="379"/>
      <c r="H243" s="380"/>
      <c r="I243" s="381"/>
    </row>
    <row r="244" ht="15.0" customHeight="1">
      <c r="A244" s="369"/>
      <c r="B244" s="371"/>
      <c r="C244" s="370"/>
      <c r="D244" s="464"/>
      <c r="E244" s="372"/>
      <c r="F244" s="372"/>
      <c r="G244" s="372"/>
      <c r="H244" s="373"/>
      <c r="I244" s="374"/>
    </row>
    <row r="245" ht="15.0" customHeight="1">
      <c r="A245" s="376"/>
      <c r="B245" s="378"/>
      <c r="C245" s="377"/>
      <c r="D245" s="465"/>
      <c r="E245" s="379"/>
      <c r="F245" s="379"/>
      <c r="G245" s="379"/>
      <c r="H245" s="380"/>
      <c r="I245" s="381"/>
    </row>
    <row r="246" ht="15.0" customHeight="1">
      <c r="A246" s="369"/>
      <c r="B246" s="371"/>
      <c r="C246" s="370"/>
      <c r="D246" s="464"/>
      <c r="E246" s="372"/>
      <c r="F246" s="372"/>
      <c r="G246" s="372"/>
      <c r="H246" s="373"/>
      <c r="I246" s="374"/>
    </row>
    <row r="247" ht="15.0" customHeight="1">
      <c r="A247" s="376"/>
      <c r="B247" s="378"/>
      <c r="C247" s="377"/>
      <c r="D247" s="465"/>
      <c r="E247" s="379"/>
      <c r="F247" s="379"/>
      <c r="G247" s="379"/>
      <c r="H247" s="380"/>
      <c r="I247" s="381"/>
    </row>
    <row r="248" ht="15.0" customHeight="1">
      <c r="A248" s="369"/>
      <c r="B248" s="371"/>
      <c r="C248" s="370"/>
      <c r="D248" s="464"/>
      <c r="E248" s="372"/>
      <c r="F248" s="372"/>
      <c r="G248" s="372"/>
      <c r="H248" s="373"/>
      <c r="I248" s="374"/>
    </row>
    <row r="249" ht="15.0" customHeight="1">
      <c r="A249" s="376"/>
      <c r="B249" s="378"/>
      <c r="C249" s="377"/>
      <c r="D249" s="465"/>
      <c r="E249" s="379"/>
      <c r="F249" s="379"/>
      <c r="G249" s="379"/>
      <c r="H249" s="380"/>
      <c r="I249" s="381"/>
    </row>
    <row r="250" ht="15.0" customHeight="1">
      <c r="A250" s="369"/>
      <c r="B250" s="371"/>
      <c r="C250" s="370"/>
      <c r="D250" s="464"/>
      <c r="E250" s="372"/>
      <c r="F250" s="372"/>
      <c r="G250" s="372"/>
      <c r="H250" s="373"/>
      <c r="I250" s="374"/>
    </row>
    <row r="251" ht="15.0" customHeight="1">
      <c r="A251" s="376"/>
      <c r="B251" s="378"/>
      <c r="C251" s="377"/>
      <c r="D251" s="465"/>
      <c r="E251" s="379"/>
      <c r="F251" s="379"/>
      <c r="G251" s="379"/>
      <c r="H251" s="380"/>
      <c r="I251" s="381"/>
    </row>
    <row r="252" ht="15.0" customHeight="1">
      <c r="A252" s="369"/>
      <c r="B252" s="371"/>
      <c r="C252" s="370"/>
      <c r="D252" s="464"/>
      <c r="E252" s="372"/>
      <c r="F252" s="372"/>
      <c r="G252" s="372"/>
      <c r="H252" s="373"/>
      <c r="I252" s="374"/>
    </row>
    <row r="253" ht="15.0" customHeight="1">
      <c r="A253" s="376"/>
      <c r="B253" s="378"/>
      <c r="C253" s="377"/>
      <c r="D253" s="465"/>
      <c r="E253" s="379"/>
      <c r="F253" s="379"/>
      <c r="G253" s="379"/>
      <c r="H253" s="380"/>
      <c r="I253" s="381"/>
    </row>
    <row r="254" ht="15.0" customHeight="1">
      <c r="A254" s="369"/>
      <c r="B254" s="371"/>
      <c r="C254" s="370"/>
      <c r="D254" s="464"/>
      <c r="E254" s="372"/>
      <c r="F254" s="372"/>
      <c r="G254" s="372"/>
      <c r="H254" s="373"/>
      <c r="I254" s="374"/>
    </row>
    <row r="255" ht="15.0" customHeight="1">
      <c r="A255" s="376"/>
      <c r="B255" s="378"/>
      <c r="C255" s="377"/>
      <c r="D255" s="465"/>
      <c r="E255" s="379"/>
      <c r="F255" s="379"/>
      <c r="G255" s="379"/>
      <c r="H255" s="380"/>
      <c r="I255" s="381"/>
    </row>
    <row r="256" ht="15.0" customHeight="1">
      <c r="A256" s="369"/>
      <c r="B256" s="371"/>
      <c r="C256" s="370"/>
      <c r="D256" s="464"/>
      <c r="E256" s="372"/>
      <c r="F256" s="372"/>
      <c r="G256" s="372"/>
      <c r="H256" s="373"/>
      <c r="I256" s="374"/>
    </row>
    <row r="257" ht="15.0" customHeight="1">
      <c r="A257" s="376"/>
      <c r="B257" s="378"/>
      <c r="C257" s="377"/>
      <c r="D257" s="465"/>
      <c r="E257" s="379"/>
      <c r="F257" s="379"/>
      <c r="G257" s="379"/>
      <c r="H257" s="380"/>
      <c r="I257" s="381"/>
    </row>
    <row r="258" ht="15.0" customHeight="1">
      <c r="A258" s="369"/>
      <c r="B258" s="371"/>
      <c r="C258" s="370"/>
      <c r="D258" s="464"/>
      <c r="E258" s="372"/>
      <c r="F258" s="372"/>
      <c r="G258" s="372"/>
      <c r="H258" s="373"/>
      <c r="I258" s="374"/>
    </row>
    <row r="259" ht="15.0" customHeight="1">
      <c r="A259" s="376"/>
      <c r="B259" s="378"/>
      <c r="C259" s="377"/>
      <c r="D259" s="465"/>
      <c r="E259" s="379"/>
      <c r="F259" s="379"/>
      <c r="G259" s="379"/>
      <c r="H259" s="380"/>
      <c r="I259" s="381"/>
    </row>
    <row r="260" ht="15.0" customHeight="1">
      <c r="A260" s="369"/>
      <c r="B260" s="371"/>
      <c r="C260" s="370"/>
      <c r="D260" s="464"/>
      <c r="E260" s="372"/>
      <c r="F260" s="372"/>
      <c r="G260" s="372"/>
      <c r="H260" s="373"/>
      <c r="I260" s="374"/>
    </row>
    <row r="261" ht="15.0" customHeight="1">
      <c r="A261" s="376"/>
      <c r="B261" s="378"/>
      <c r="C261" s="377"/>
      <c r="D261" s="465"/>
      <c r="E261" s="379"/>
      <c r="F261" s="379"/>
      <c r="G261" s="379"/>
      <c r="H261" s="380"/>
      <c r="I261" s="381"/>
    </row>
    <row r="262" ht="15.0" customHeight="1">
      <c r="A262" s="369"/>
      <c r="B262" s="371"/>
      <c r="C262" s="370"/>
      <c r="D262" s="464"/>
      <c r="E262" s="372"/>
      <c r="F262" s="372"/>
      <c r="G262" s="372"/>
      <c r="H262" s="373"/>
      <c r="I262" s="374"/>
    </row>
    <row r="263" ht="15.0" customHeight="1">
      <c r="A263" s="376"/>
      <c r="B263" s="378"/>
      <c r="C263" s="377"/>
      <c r="D263" s="465"/>
      <c r="E263" s="379"/>
      <c r="F263" s="379"/>
      <c r="G263" s="379"/>
      <c r="H263" s="380"/>
      <c r="I263" s="381"/>
    </row>
    <row r="264" ht="15.0" customHeight="1">
      <c r="A264" s="369"/>
      <c r="B264" s="371"/>
      <c r="C264" s="370"/>
      <c r="D264" s="464"/>
      <c r="E264" s="372"/>
      <c r="F264" s="372"/>
      <c r="G264" s="372"/>
      <c r="H264" s="373"/>
      <c r="I264" s="374"/>
    </row>
    <row r="265" ht="15.0" customHeight="1">
      <c r="A265" s="376"/>
      <c r="B265" s="378"/>
      <c r="C265" s="377"/>
      <c r="D265" s="465"/>
      <c r="E265" s="379"/>
      <c r="F265" s="379"/>
      <c r="G265" s="379"/>
      <c r="H265" s="380"/>
      <c r="I265" s="381"/>
    </row>
    <row r="266" ht="15.0" customHeight="1">
      <c r="A266" s="369"/>
      <c r="B266" s="371"/>
      <c r="C266" s="370"/>
      <c r="D266" s="464"/>
      <c r="E266" s="372"/>
      <c r="F266" s="372"/>
      <c r="G266" s="372"/>
      <c r="H266" s="373"/>
      <c r="I266" s="374"/>
    </row>
    <row r="267" ht="15.0" customHeight="1">
      <c r="A267" s="376"/>
      <c r="B267" s="378"/>
      <c r="C267" s="377"/>
      <c r="D267" s="465"/>
      <c r="E267" s="379"/>
      <c r="F267" s="379"/>
      <c r="G267" s="379"/>
      <c r="H267" s="380"/>
      <c r="I267" s="381"/>
    </row>
    <row r="268" ht="15.0" customHeight="1">
      <c r="A268" s="369"/>
      <c r="B268" s="371"/>
      <c r="C268" s="370"/>
      <c r="D268" s="464"/>
      <c r="E268" s="372"/>
      <c r="F268" s="372"/>
      <c r="G268" s="372"/>
      <c r="H268" s="373"/>
      <c r="I268" s="374"/>
    </row>
    <row r="269" ht="15.0" customHeight="1">
      <c r="A269" s="376"/>
      <c r="B269" s="378"/>
      <c r="C269" s="377"/>
      <c r="D269" s="465"/>
      <c r="E269" s="379"/>
      <c r="F269" s="379"/>
      <c r="G269" s="379"/>
      <c r="H269" s="380"/>
      <c r="I269" s="381"/>
    </row>
    <row r="270" ht="15.0" customHeight="1">
      <c r="A270" s="369"/>
      <c r="B270" s="371"/>
      <c r="C270" s="370"/>
      <c r="D270" s="464"/>
      <c r="E270" s="372"/>
      <c r="F270" s="372"/>
      <c r="G270" s="372"/>
      <c r="H270" s="373"/>
      <c r="I270" s="374"/>
    </row>
    <row r="271" ht="15.0" customHeight="1">
      <c r="A271" s="376"/>
      <c r="B271" s="378"/>
      <c r="C271" s="377"/>
      <c r="D271" s="465"/>
      <c r="E271" s="379"/>
      <c r="F271" s="379"/>
      <c r="G271" s="379"/>
      <c r="H271" s="380"/>
      <c r="I271" s="381"/>
    </row>
    <row r="272" ht="15.0" customHeight="1">
      <c r="A272" s="369"/>
      <c r="B272" s="371"/>
      <c r="C272" s="370"/>
      <c r="D272" s="464"/>
      <c r="E272" s="372"/>
      <c r="F272" s="372"/>
      <c r="G272" s="372"/>
      <c r="H272" s="373"/>
      <c r="I272" s="374"/>
    </row>
    <row r="273" ht="15.0" customHeight="1">
      <c r="A273" s="376"/>
      <c r="B273" s="378"/>
      <c r="C273" s="377"/>
      <c r="D273" s="465"/>
      <c r="E273" s="379"/>
      <c r="F273" s="379"/>
      <c r="G273" s="379"/>
      <c r="H273" s="380"/>
      <c r="I273" s="381"/>
    </row>
    <row r="274" ht="15.0" customHeight="1">
      <c r="A274" s="369"/>
      <c r="B274" s="371"/>
      <c r="C274" s="370"/>
      <c r="D274" s="464"/>
      <c r="E274" s="372"/>
      <c r="F274" s="372"/>
      <c r="G274" s="372"/>
      <c r="H274" s="373"/>
      <c r="I274" s="374"/>
    </row>
    <row r="275" ht="15.0" customHeight="1">
      <c r="A275" s="376"/>
      <c r="B275" s="378"/>
      <c r="C275" s="377"/>
      <c r="D275" s="465"/>
      <c r="E275" s="379"/>
      <c r="F275" s="379"/>
      <c r="G275" s="379"/>
      <c r="H275" s="380"/>
      <c r="I275" s="381"/>
    </row>
    <row r="276" ht="15.0" customHeight="1">
      <c r="A276" s="369"/>
      <c r="B276" s="371"/>
      <c r="C276" s="370"/>
      <c r="D276" s="464"/>
      <c r="E276" s="372"/>
      <c r="F276" s="372"/>
      <c r="G276" s="372"/>
      <c r="H276" s="373"/>
      <c r="I276" s="374"/>
    </row>
    <row r="277" ht="15.0" customHeight="1">
      <c r="A277" s="376"/>
      <c r="B277" s="378"/>
      <c r="C277" s="377"/>
      <c r="D277" s="465"/>
      <c r="E277" s="379"/>
      <c r="F277" s="379"/>
      <c r="G277" s="379"/>
      <c r="H277" s="380"/>
      <c r="I277" s="381"/>
    </row>
    <row r="278" ht="15.0" customHeight="1">
      <c r="A278" s="369"/>
      <c r="B278" s="371"/>
      <c r="C278" s="370"/>
      <c r="D278" s="464"/>
      <c r="E278" s="372"/>
      <c r="F278" s="372"/>
      <c r="G278" s="372"/>
      <c r="H278" s="373"/>
      <c r="I278" s="374"/>
    </row>
    <row r="279" ht="15.0" customHeight="1">
      <c r="A279" s="376"/>
      <c r="B279" s="378"/>
      <c r="C279" s="377"/>
      <c r="D279" s="465"/>
      <c r="E279" s="379"/>
      <c r="F279" s="379"/>
      <c r="G279" s="379"/>
      <c r="H279" s="380"/>
      <c r="I279" s="381"/>
    </row>
    <row r="280" ht="15.0" customHeight="1">
      <c r="A280" s="369"/>
      <c r="B280" s="371"/>
      <c r="C280" s="370"/>
      <c r="D280" s="464"/>
      <c r="E280" s="372"/>
      <c r="F280" s="372"/>
      <c r="G280" s="372"/>
      <c r="H280" s="373"/>
      <c r="I280" s="374"/>
    </row>
    <row r="281" ht="15.0" customHeight="1">
      <c r="A281" s="376"/>
      <c r="B281" s="378"/>
      <c r="C281" s="377"/>
      <c r="D281" s="465"/>
      <c r="E281" s="379"/>
      <c r="F281" s="379"/>
      <c r="G281" s="379"/>
      <c r="H281" s="380"/>
      <c r="I281" s="381"/>
    </row>
    <row r="282" ht="15.0" customHeight="1">
      <c r="A282" s="369"/>
      <c r="B282" s="371"/>
      <c r="C282" s="370"/>
      <c r="D282" s="464"/>
      <c r="E282" s="372"/>
      <c r="F282" s="372"/>
      <c r="G282" s="372"/>
      <c r="H282" s="373"/>
      <c r="I282" s="374"/>
    </row>
    <row r="283" ht="15.0" customHeight="1">
      <c r="A283" s="376"/>
      <c r="B283" s="378"/>
      <c r="C283" s="377"/>
      <c r="D283" s="465"/>
      <c r="E283" s="379"/>
      <c r="F283" s="379"/>
      <c r="G283" s="379"/>
      <c r="H283" s="380"/>
      <c r="I283" s="381"/>
    </row>
    <row r="284" ht="15.0" customHeight="1">
      <c r="A284" s="369"/>
      <c r="B284" s="371"/>
      <c r="C284" s="370"/>
      <c r="D284" s="464"/>
      <c r="E284" s="372"/>
      <c r="F284" s="372"/>
      <c r="G284" s="372"/>
      <c r="H284" s="373"/>
      <c r="I284" s="374"/>
    </row>
    <row r="285" ht="15.0" customHeight="1">
      <c r="A285" s="376"/>
      <c r="B285" s="378"/>
      <c r="C285" s="377"/>
      <c r="D285" s="465"/>
      <c r="E285" s="379"/>
      <c r="F285" s="379"/>
      <c r="G285" s="379"/>
      <c r="H285" s="380"/>
      <c r="I285" s="381"/>
    </row>
    <row r="286" ht="15.0" customHeight="1">
      <c r="A286" s="369"/>
      <c r="B286" s="371"/>
      <c r="C286" s="370"/>
      <c r="D286" s="464"/>
      <c r="E286" s="372"/>
      <c r="F286" s="372"/>
      <c r="G286" s="372"/>
      <c r="H286" s="373"/>
      <c r="I286" s="374"/>
    </row>
    <row r="287" ht="15.0" customHeight="1">
      <c r="A287" s="376"/>
      <c r="B287" s="378"/>
      <c r="C287" s="377"/>
      <c r="D287" s="465"/>
      <c r="E287" s="379"/>
      <c r="F287" s="379"/>
      <c r="G287" s="379"/>
      <c r="H287" s="380"/>
      <c r="I287" s="381"/>
    </row>
    <row r="288" ht="15.0" customHeight="1">
      <c r="A288" s="369"/>
      <c r="B288" s="371"/>
      <c r="C288" s="370"/>
      <c r="D288" s="464"/>
      <c r="E288" s="372"/>
      <c r="F288" s="372"/>
      <c r="G288" s="372"/>
      <c r="H288" s="373"/>
      <c r="I288" s="374"/>
    </row>
    <row r="289" ht="15.0" customHeight="1">
      <c r="A289" s="376"/>
      <c r="B289" s="378"/>
      <c r="C289" s="377"/>
      <c r="D289" s="465"/>
      <c r="E289" s="379"/>
      <c r="F289" s="379"/>
      <c r="G289" s="379"/>
      <c r="H289" s="380"/>
      <c r="I289" s="381"/>
    </row>
    <row r="290" ht="15.0" customHeight="1">
      <c r="A290" s="369"/>
      <c r="B290" s="371"/>
      <c r="C290" s="370"/>
      <c r="D290" s="464"/>
      <c r="E290" s="372"/>
      <c r="F290" s="372"/>
      <c r="G290" s="372"/>
      <c r="H290" s="373"/>
      <c r="I290" s="374"/>
    </row>
    <row r="291" ht="15.0" customHeight="1">
      <c r="A291" s="376"/>
      <c r="B291" s="378"/>
      <c r="C291" s="377"/>
      <c r="D291" s="465"/>
      <c r="E291" s="379"/>
      <c r="F291" s="379"/>
      <c r="G291" s="379"/>
      <c r="H291" s="380"/>
      <c r="I291" s="381"/>
    </row>
    <row r="292" ht="15.0" customHeight="1">
      <c r="A292" s="369"/>
      <c r="B292" s="371"/>
      <c r="C292" s="370"/>
      <c r="D292" s="464"/>
      <c r="E292" s="372"/>
      <c r="F292" s="372"/>
      <c r="G292" s="372"/>
      <c r="H292" s="373"/>
      <c r="I292" s="374"/>
    </row>
    <row r="293" ht="15.0" customHeight="1">
      <c r="A293" s="376"/>
      <c r="B293" s="378"/>
      <c r="C293" s="377"/>
      <c r="D293" s="465"/>
      <c r="E293" s="379"/>
      <c r="F293" s="379"/>
      <c r="G293" s="379"/>
      <c r="H293" s="380"/>
      <c r="I293" s="381"/>
    </row>
    <row r="294" ht="15.0" customHeight="1">
      <c r="A294" s="369"/>
      <c r="B294" s="371"/>
      <c r="C294" s="370"/>
      <c r="D294" s="464"/>
      <c r="E294" s="372"/>
      <c r="F294" s="372"/>
      <c r="G294" s="372"/>
      <c r="H294" s="373"/>
      <c r="I294" s="374"/>
    </row>
    <row r="295" ht="15.0" customHeight="1">
      <c r="A295" s="376"/>
      <c r="B295" s="378"/>
      <c r="C295" s="377"/>
      <c r="D295" s="465"/>
      <c r="E295" s="379"/>
      <c r="F295" s="379"/>
      <c r="G295" s="379"/>
      <c r="H295" s="380"/>
      <c r="I295" s="381"/>
    </row>
    <row r="296" ht="15.0" customHeight="1">
      <c r="A296" s="369"/>
      <c r="B296" s="371"/>
      <c r="C296" s="370"/>
      <c r="D296" s="464"/>
      <c r="E296" s="372"/>
      <c r="F296" s="372"/>
      <c r="G296" s="372"/>
      <c r="H296" s="373"/>
      <c r="I296" s="374"/>
    </row>
    <row r="297" ht="15.0" customHeight="1">
      <c r="A297" s="376"/>
      <c r="B297" s="378"/>
      <c r="C297" s="377"/>
      <c r="D297" s="465"/>
      <c r="E297" s="379"/>
      <c r="F297" s="379"/>
      <c r="G297" s="379"/>
      <c r="H297" s="380"/>
      <c r="I297" s="381"/>
    </row>
    <row r="298" ht="15.0" customHeight="1">
      <c r="A298" s="369"/>
      <c r="B298" s="371"/>
      <c r="C298" s="370"/>
      <c r="D298" s="464"/>
      <c r="E298" s="372"/>
      <c r="F298" s="372"/>
      <c r="G298" s="372"/>
      <c r="H298" s="373"/>
      <c r="I298" s="374"/>
    </row>
    <row r="299" ht="15.0" customHeight="1">
      <c r="A299" s="376"/>
      <c r="B299" s="378"/>
      <c r="C299" s="377"/>
      <c r="D299" s="465"/>
      <c r="E299" s="379"/>
      <c r="F299" s="379"/>
      <c r="G299" s="379"/>
      <c r="H299" s="380"/>
      <c r="I299" s="381"/>
    </row>
    <row r="300" ht="15.0" customHeight="1">
      <c r="A300" s="369"/>
      <c r="B300" s="371"/>
      <c r="C300" s="370"/>
      <c r="D300" s="464"/>
      <c r="E300" s="372"/>
      <c r="F300" s="372"/>
      <c r="G300" s="372"/>
      <c r="H300" s="373"/>
      <c r="I300" s="374"/>
    </row>
    <row r="301" ht="15.0" customHeight="1">
      <c r="A301" s="376"/>
      <c r="B301" s="378"/>
      <c r="C301" s="377"/>
      <c r="D301" s="465"/>
      <c r="E301" s="379"/>
      <c r="F301" s="379"/>
      <c r="G301" s="379"/>
      <c r="H301" s="380"/>
      <c r="I301" s="381"/>
    </row>
    <row r="302" ht="15.0" customHeight="1">
      <c r="A302" s="369"/>
      <c r="B302" s="371"/>
      <c r="C302" s="370"/>
      <c r="D302" s="464"/>
      <c r="E302" s="372"/>
      <c r="F302" s="372"/>
      <c r="G302" s="372"/>
      <c r="H302" s="373"/>
      <c r="I302" s="374"/>
    </row>
    <row r="303" ht="15.0" customHeight="1">
      <c r="A303" s="376"/>
      <c r="B303" s="378"/>
      <c r="C303" s="377"/>
      <c r="D303" s="465"/>
      <c r="E303" s="379"/>
      <c r="F303" s="379"/>
      <c r="G303" s="379"/>
      <c r="H303" s="380"/>
      <c r="I303" s="381"/>
    </row>
    <row r="304" ht="6.0" customHeight="1">
      <c r="A304" s="334"/>
      <c r="B304" s="334"/>
      <c r="C304" s="334"/>
      <c r="D304" s="441"/>
      <c r="E304" s="336"/>
      <c r="F304" s="336"/>
      <c r="G304" s="336"/>
      <c r="H304" s="334"/>
      <c r="I304" s="334"/>
    </row>
    <row r="305" ht="21.75" customHeight="1">
      <c r="A305" s="466" t="s">
        <v>520</v>
      </c>
      <c r="B305" s="56"/>
      <c r="C305" s="467"/>
      <c r="D305" s="468"/>
      <c r="E305" s="469"/>
      <c r="F305" s="470" t="s">
        <v>571</v>
      </c>
      <c r="G305" s="471">
        <f>SUM(G306:G390)</f>
        <v>0</v>
      </c>
      <c r="H305" s="467"/>
      <c r="I305" s="467"/>
    </row>
    <row r="306" ht="15.0" customHeight="1">
      <c r="A306" s="385"/>
      <c r="B306" s="387"/>
      <c r="C306" s="386"/>
      <c r="D306" s="472"/>
      <c r="E306" s="388"/>
      <c r="F306" s="388"/>
      <c r="G306" s="388"/>
      <c r="H306" s="389"/>
      <c r="I306" s="390"/>
    </row>
    <row r="307" ht="15.0" customHeight="1">
      <c r="A307" s="318"/>
      <c r="B307" s="320"/>
      <c r="C307" s="319"/>
      <c r="D307" s="439"/>
      <c r="E307" s="321"/>
      <c r="F307" s="321"/>
      <c r="G307" s="321"/>
      <c r="H307" s="322"/>
      <c r="I307" s="323"/>
    </row>
    <row r="308" ht="15.0" customHeight="1">
      <c r="A308" s="385"/>
      <c r="B308" s="387"/>
      <c r="C308" s="386"/>
      <c r="D308" s="472"/>
      <c r="E308" s="388"/>
      <c r="F308" s="388"/>
      <c r="G308" s="388"/>
      <c r="H308" s="389"/>
      <c r="I308" s="390"/>
    </row>
    <row r="309" ht="15.0" customHeight="1">
      <c r="A309" s="318"/>
      <c r="B309" s="320"/>
      <c r="C309" s="319"/>
      <c r="D309" s="439"/>
      <c r="E309" s="321"/>
      <c r="F309" s="321"/>
      <c r="G309" s="321"/>
      <c r="H309" s="322"/>
      <c r="I309" s="323"/>
    </row>
    <row r="310" ht="15.0" customHeight="1">
      <c r="A310" s="385"/>
      <c r="B310" s="387"/>
      <c r="C310" s="386"/>
      <c r="D310" s="472"/>
      <c r="E310" s="388"/>
      <c r="F310" s="388"/>
      <c r="G310" s="388"/>
      <c r="H310" s="389"/>
      <c r="I310" s="390"/>
    </row>
    <row r="311" ht="15.0" customHeight="1">
      <c r="A311" s="318"/>
      <c r="B311" s="320"/>
      <c r="C311" s="319"/>
      <c r="D311" s="439"/>
      <c r="E311" s="321"/>
      <c r="F311" s="321"/>
      <c r="G311" s="321"/>
      <c r="H311" s="322"/>
      <c r="I311" s="323"/>
    </row>
    <row r="312" ht="15.0" customHeight="1">
      <c r="A312" s="385"/>
      <c r="B312" s="387"/>
      <c r="C312" s="386"/>
      <c r="D312" s="472"/>
      <c r="E312" s="388"/>
      <c r="F312" s="388"/>
      <c r="G312" s="388"/>
      <c r="H312" s="389"/>
      <c r="I312" s="390"/>
    </row>
    <row r="313" ht="15.0" customHeight="1">
      <c r="A313" s="318"/>
      <c r="B313" s="320"/>
      <c r="C313" s="319"/>
      <c r="D313" s="439"/>
      <c r="E313" s="321"/>
      <c r="F313" s="321"/>
      <c r="G313" s="321"/>
      <c r="H313" s="322"/>
      <c r="I313" s="323"/>
    </row>
    <row r="314" ht="15.0" customHeight="1">
      <c r="A314" s="385"/>
      <c r="B314" s="387"/>
      <c r="C314" s="386"/>
      <c r="D314" s="472"/>
      <c r="E314" s="388"/>
      <c r="F314" s="388"/>
      <c r="G314" s="388"/>
      <c r="H314" s="389"/>
      <c r="I314" s="390"/>
    </row>
    <row r="315" ht="15.0" customHeight="1">
      <c r="A315" s="318"/>
      <c r="B315" s="320"/>
      <c r="C315" s="319"/>
      <c r="D315" s="439"/>
      <c r="E315" s="321"/>
      <c r="F315" s="321"/>
      <c r="G315" s="321"/>
      <c r="H315" s="322"/>
      <c r="I315" s="323"/>
    </row>
    <row r="316" ht="15.0" customHeight="1">
      <c r="A316" s="385"/>
      <c r="B316" s="387"/>
      <c r="C316" s="386"/>
      <c r="D316" s="472"/>
      <c r="E316" s="388"/>
      <c r="F316" s="388"/>
      <c r="G316" s="388"/>
      <c r="H316" s="389"/>
      <c r="I316" s="390"/>
    </row>
    <row r="317" ht="15.0" customHeight="1">
      <c r="A317" s="318"/>
      <c r="B317" s="320"/>
      <c r="C317" s="319"/>
      <c r="D317" s="439"/>
      <c r="E317" s="321"/>
      <c r="F317" s="321"/>
      <c r="G317" s="321"/>
      <c r="H317" s="322"/>
      <c r="I317" s="323"/>
    </row>
    <row r="318" ht="15.0" customHeight="1">
      <c r="A318" s="385"/>
      <c r="B318" s="387"/>
      <c r="C318" s="386"/>
      <c r="D318" s="472"/>
      <c r="E318" s="388"/>
      <c r="F318" s="388"/>
      <c r="G318" s="388"/>
      <c r="H318" s="389"/>
      <c r="I318" s="390"/>
    </row>
    <row r="319" ht="15.0" customHeight="1">
      <c r="A319" s="318"/>
      <c r="B319" s="320"/>
      <c r="C319" s="319"/>
      <c r="D319" s="439"/>
      <c r="E319" s="321"/>
      <c r="F319" s="321"/>
      <c r="G319" s="321"/>
      <c r="H319" s="322"/>
      <c r="I319" s="323"/>
    </row>
    <row r="320" ht="15.0" customHeight="1">
      <c r="A320" s="385"/>
      <c r="B320" s="387"/>
      <c r="C320" s="386"/>
      <c r="D320" s="472"/>
      <c r="E320" s="388"/>
      <c r="F320" s="388"/>
      <c r="G320" s="388"/>
      <c r="H320" s="389"/>
      <c r="I320" s="390"/>
    </row>
    <row r="321" ht="15.0" customHeight="1">
      <c r="A321" s="318"/>
      <c r="B321" s="320"/>
      <c r="C321" s="319"/>
      <c r="D321" s="439"/>
      <c r="E321" s="321"/>
      <c r="F321" s="321"/>
      <c r="G321" s="321"/>
      <c r="H321" s="322"/>
      <c r="I321" s="323"/>
    </row>
    <row r="322" ht="15.0" customHeight="1">
      <c r="A322" s="385"/>
      <c r="B322" s="387"/>
      <c r="C322" s="386"/>
      <c r="D322" s="472"/>
      <c r="E322" s="388"/>
      <c r="F322" s="388"/>
      <c r="G322" s="388"/>
      <c r="H322" s="389"/>
      <c r="I322" s="390"/>
    </row>
    <row r="323" ht="15.0" customHeight="1">
      <c r="A323" s="318"/>
      <c r="B323" s="320"/>
      <c r="C323" s="319"/>
      <c r="D323" s="439"/>
      <c r="E323" s="321"/>
      <c r="F323" s="321"/>
      <c r="G323" s="321"/>
      <c r="H323" s="322"/>
      <c r="I323" s="323"/>
    </row>
    <row r="324" ht="15.0" customHeight="1">
      <c r="A324" s="385"/>
      <c r="B324" s="387"/>
      <c r="C324" s="386"/>
      <c r="D324" s="472"/>
      <c r="E324" s="388"/>
      <c r="F324" s="388"/>
      <c r="G324" s="388"/>
      <c r="H324" s="389"/>
      <c r="I324" s="390"/>
    </row>
    <row r="325" ht="15.0" customHeight="1">
      <c r="A325" s="318"/>
      <c r="B325" s="320"/>
      <c r="C325" s="319"/>
      <c r="D325" s="439"/>
      <c r="E325" s="321"/>
      <c r="F325" s="321"/>
      <c r="G325" s="321"/>
      <c r="H325" s="322"/>
      <c r="I325" s="323"/>
    </row>
    <row r="326" ht="15.0" customHeight="1">
      <c r="A326" s="385"/>
      <c r="B326" s="387"/>
      <c r="C326" s="386"/>
      <c r="D326" s="472"/>
      <c r="E326" s="388"/>
      <c r="F326" s="388"/>
      <c r="G326" s="388"/>
      <c r="H326" s="389"/>
      <c r="I326" s="390"/>
    </row>
    <row r="327" ht="15.0" customHeight="1">
      <c r="A327" s="318"/>
      <c r="B327" s="320"/>
      <c r="C327" s="319"/>
      <c r="D327" s="439"/>
      <c r="E327" s="321"/>
      <c r="F327" s="321"/>
      <c r="G327" s="321"/>
      <c r="H327" s="322"/>
      <c r="I327" s="323"/>
    </row>
    <row r="328" ht="15.0" customHeight="1">
      <c r="A328" s="385"/>
      <c r="B328" s="387"/>
      <c r="C328" s="386"/>
      <c r="D328" s="472"/>
      <c r="E328" s="388"/>
      <c r="F328" s="388"/>
      <c r="G328" s="388"/>
      <c r="H328" s="389"/>
      <c r="I328" s="390"/>
    </row>
    <row r="329" ht="15.0" customHeight="1">
      <c r="A329" s="318"/>
      <c r="B329" s="320"/>
      <c r="C329" s="319"/>
      <c r="D329" s="439"/>
      <c r="E329" s="321"/>
      <c r="F329" s="321"/>
      <c r="G329" s="321"/>
      <c r="H329" s="322"/>
      <c r="I329" s="323"/>
    </row>
    <row r="330" ht="15.0" customHeight="1">
      <c r="A330" s="385"/>
      <c r="B330" s="387"/>
      <c r="C330" s="386"/>
      <c r="D330" s="472"/>
      <c r="E330" s="388"/>
      <c r="F330" s="388"/>
      <c r="G330" s="388"/>
      <c r="H330" s="389"/>
      <c r="I330" s="390"/>
    </row>
    <row r="331" ht="15.0" customHeight="1">
      <c r="A331" s="318"/>
      <c r="B331" s="320"/>
      <c r="C331" s="319"/>
      <c r="D331" s="439"/>
      <c r="E331" s="321"/>
      <c r="F331" s="321"/>
      <c r="G331" s="321"/>
      <c r="H331" s="322"/>
      <c r="I331" s="323"/>
    </row>
    <row r="332" ht="15.0" customHeight="1">
      <c r="A332" s="385"/>
      <c r="B332" s="387"/>
      <c r="C332" s="386"/>
      <c r="D332" s="472"/>
      <c r="E332" s="388"/>
      <c r="F332" s="388"/>
      <c r="G332" s="388"/>
      <c r="H332" s="389"/>
      <c r="I332" s="390"/>
    </row>
    <row r="333" ht="15.0" customHeight="1">
      <c r="A333" s="318"/>
      <c r="B333" s="320"/>
      <c r="C333" s="319"/>
      <c r="D333" s="439"/>
      <c r="E333" s="321"/>
      <c r="F333" s="321"/>
      <c r="G333" s="321"/>
      <c r="H333" s="322"/>
      <c r="I333" s="323"/>
    </row>
    <row r="334" ht="15.0" customHeight="1">
      <c r="A334" s="385"/>
      <c r="B334" s="387"/>
      <c r="C334" s="386"/>
      <c r="D334" s="472"/>
      <c r="E334" s="388"/>
      <c r="F334" s="388"/>
      <c r="G334" s="388"/>
      <c r="H334" s="389"/>
      <c r="I334" s="390"/>
    </row>
    <row r="335" ht="15.0" customHeight="1">
      <c r="A335" s="318"/>
      <c r="B335" s="320"/>
      <c r="C335" s="319"/>
      <c r="D335" s="439"/>
      <c r="E335" s="321"/>
      <c r="F335" s="321"/>
      <c r="G335" s="321"/>
      <c r="H335" s="322"/>
      <c r="I335" s="323"/>
    </row>
    <row r="336" ht="15.0" customHeight="1">
      <c r="A336" s="385"/>
      <c r="B336" s="387"/>
      <c r="C336" s="386"/>
      <c r="D336" s="472"/>
      <c r="E336" s="388"/>
      <c r="F336" s="388"/>
      <c r="G336" s="388"/>
      <c r="H336" s="389"/>
      <c r="I336" s="390"/>
    </row>
    <row r="337" ht="15.0" customHeight="1">
      <c r="A337" s="318"/>
      <c r="B337" s="320"/>
      <c r="C337" s="319"/>
      <c r="D337" s="439"/>
      <c r="E337" s="321"/>
      <c r="F337" s="321"/>
      <c r="G337" s="321"/>
      <c r="H337" s="322"/>
      <c r="I337" s="323"/>
    </row>
    <row r="338" ht="15.0" customHeight="1">
      <c r="A338" s="385"/>
      <c r="B338" s="387"/>
      <c r="C338" s="386"/>
      <c r="D338" s="472"/>
      <c r="E338" s="388"/>
      <c r="F338" s="388"/>
      <c r="G338" s="388"/>
      <c r="H338" s="389"/>
      <c r="I338" s="390"/>
    </row>
    <row r="339" ht="15.0" customHeight="1">
      <c r="A339" s="318"/>
      <c r="B339" s="320"/>
      <c r="C339" s="319"/>
      <c r="D339" s="439"/>
      <c r="E339" s="321"/>
      <c r="F339" s="321"/>
      <c r="G339" s="321"/>
      <c r="H339" s="322"/>
      <c r="I339" s="323"/>
    </row>
    <row r="340" ht="15.0" customHeight="1">
      <c r="A340" s="385"/>
      <c r="B340" s="387"/>
      <c r="C340" s="386"/>
      <c r="D340" s="472"/>
      <c r="E340" s="388"/>
      <c r="F340" s="388"/>
      <c r="G340" s="388"/>
      <c r="H340" s="389"/>
      <c r="I340" s="390"/>
    </row>
    <row r="341" ht="15.0" customHeight="1">
      <c r="A341" s="318"/>
      <c r="B341" s="320"/>
      <c r="C341" s="319"/>
      <c r="D341" s="439"/>
      <c r="E341" s="321"/>
      <c r="F341" s="321"/>
      <c r="G341" s="321"/>
      <c r="H341" s="322"/>
      <c r="I341" s="323"/>
    </row>
    <row r="342" ht="15.0" customHeight="1">
      <c r="A342" s="385"/>
      <c r="B342" s="387"/>
      <c r="C342" s="386"/>
      <c r="D342" s="472"/>
      <c r="E342" s="388"/>
      <c r="F342" s="388"/>
      <c r="G342" s="388"/>
      <c r="H342" s="389"/>
      <c r="I342" s="390"/>
    </row>
    <row r="343" ht="15.0" customHeight="1">
      <c r="A343" s="318"/>
      <c r="B343" s="320"/>
      <c r="C343" s="319"/>
      <c r="D343" s="439"/>
      <c r="E343" s="321"/>
      <c r="F343" s="321"/>
      <c r="G343" s="321"/>
      <c r="H343" s="322"/>
      <c r="I343" s="323"/>
    </row>
    <row r="344" ht="15.0" customHeight="1">
      <c r="A344" s="385"/>
      <c r="B344" s="387"/>
      <c r="C344" s="386"/>
      <c r="D344" s="472"/>
      <c r="E344" s="388"/>
      <c r="F344" s="388"/>
      <c r="G344" s="388"/>
      <c r="H344" s="389"/>
      <c r="I344" s="390"/>
    </row>
    <row r="345" ht="15.0" customHeight="1">
      <c r="A345" s="318"/>
      <c r="B345" s="320"/>
      <c r="C345" s="319"/>
      <c r="D345" s="439"/>
      <c r="E345" s="321"/>
      <c r="F345" s="321"/>
      <c r="G345" s="321"/>
      <c r="H345" s="322"/>
      <c r="I345" s="323"/>
    </row>
    <row r="346" ht="15.0" customHeight="1">
      <c r="A346" s="385"/>
      <c r="B346" s="387"/>
      <c r="C346" s="386"/>
      <c r="D346" s="472"/>
      <c r="E346" s="388"/>
      <c r="F346" s="388"/>
      <c r="G346" s="388"/>
      <c r="H346" s="389"/>
      <c r="I346" s="390"/>
    </row>
    <row r="347" ht="15.0" customHeight="1">
      <c r="A347" s="318"/>
      <c r="B347" s="320"/>
      <c r="C347" s="319"/>
      <c r="D347" s="439"/>
      <c r="E347" s="321"/>
      <c r="F347" s="321"/>
      <c r="G347" s="321"/>
      <c r="H347" s="322"/>
      <c r="I347" s="323"/>
    </row>
    <row r="348" ht="15.0" customHeight="1">
      <c r="A348" s="385"/>
      <c r="B348" s="387"/>
      <c r="C348" s="386"/>
      <c r="D348" s="472"/>
      <c r="E348" s="388"/>
      <c r="F348" s="388"/>
      <c r="G348" s="388"/>
      <c r="H348" s="389"/>
      <c r="I348" s="390"/>
    </row>
    <row r="349" ht="15.0" customHeight="1">
      <c r="A349" s="318"/>
      <c r="B349" s="320"/>
      <c r="C349" s="319"/>
      <c r="D349" s="439"/>
      <c r="E349" s="321"/>
      <c r="F349" s="321"/>
      <c r="G349" s="321"/>
      <c r="H349" s="322"/>
      <c r="I349" s="323"/>
    </row>
    <row r="350" ht="15.0" customHeight="1">
      <c r="A350" s="385"/>
      <c r="B350" s="387"/>
      <c r="C350" s="386"/>
      <c r="D350" s="472"/>
      <c r="E350" s="388"/>
      <c r="F350" s="388"/>
      <c r="G350" s="388"/>
      <c r="H350" s="389"/>
      <c r="I350" s="390"/>
    </row>
    <row r="351" ht="15.0" customHeight="1">
      <c r="A351" s="318"/>
      <c r="B351" s="320"/>
      <c r="C351" s="319"/>
      <c r="D351" s="439"/>
      <c r="E351" s="321"/>
      <c r="F351" s="321"/>
      <c r="G351" s="321"/>
      <c r="H351" s="322"/>
      <c r="I351" s="323"/>
    </row>
    <row r="352" ht="15.0" customHeight="1">
      <c r="A352" s="385"/>
      <c r="B352" s="387"/>
      <c r="C352" s="386"/>
      <c r="D352" s="472"/>
      <c r="E352" s="388"/>
      <c r="F352" s="388"/>
      <c r="G352" s="388"/>
      <c r="H352" s="389"/>
      <c r="I352" s="390"/>
    </row>
    <row r="353" ht="15.0" customHeight="1">
      <c r="A353" s="318"/>
      <c r="B353" s="320"/>
      <c r="C353" s="319"/>
      <c r="D353" s="439"/>
      <c r="E353" s="321"/>
      <c r="F353" s="321"/>
      <c r="G353" s="321"/>
      <c r="H353" s="322"/>
      <c r="I353" s="323"/>
    </row>
    <row r="354" ht="15.0" customHeight="1">
      <c r="A354" s="385"/>
      <c r="B354" s="387"/>
      <c r="C354" s="386"/>
      <c r="D354" s="472"/>
      <c r="E354" s="388"/>
      <c r="F354" s="388"/>
      <c r="G354" s="388"/>
      <c r="H354" s="389"/>
      <c r="I354" s="390"/>
    </row>
    <row r="355" ht="15.0" customHeight="1">
      <c r="A355" s="318"/>
      <c r="B355" s="320"/>
      <c r="C355" s="319"/>
      <c r="D355" s="439"/>
      <c r="E355" s="321"/>
      <c r="F355" s="321"/>
      <c r="G355" s="321"/>
      <c r="H355" s="322"/>
      <c r="I355" s="323"/>
    </row>
    <row r="356" ht="15.0" customHeight="1">
      <c r="A356" s="385"/>
      <c r="B356" s="387"/>
      <c r="C356" s="386"/>
      <c r="D356" s="472"/>
      <c r="E356" s="388"/>
      <c r="F356" s="388"/>
      <c r="G356" s="388"/>
      <c r="H356" s="389"/>
      <c r="I356" s="390"/>
    </row>
    <row r="357" ht="15.0" customHeight="1">
      <c r="A357" s="318"/>
      <c r="B357" s="320"/>
      <c r="C357" s="319"/>
      <c r="D357" s="439"/>
      <c r="E357" s="321"/>
      <c r="F357" s="321"/>
      <c r="G357" s="321"/>
      <c r="H357" s="322"/>
      <c r="I357" s="323"/>
    </row>
    <row r="358" ht="15.0" customHeight="1">
      <c r="A358" s="385"/>
      <c r="B358" s="387"/>
      <c r="C358" s="386"/>
      <c r="D358" s="472"/>
      <c r="E358" s="388"/>
      <c r="F358" s="388"/>
      <c r="G358" s="388"/>
      <c r="H358" s="389"/>
      <c r="I358" s="390"/>
    </row>
    <row r="359" ht="15.0" customHeight="1">
      <c r="A359" s="318"/>
      <c r="B359" s="320"/>
      <c r="C359" s="319"/>
      <c r="D359" s="439"/>
      <c r="E359" s="321"/>
      <c r="F359" s="321"/>
      <c r="G359" s="321"/>
      <c r="H359" s="322"/>
      <c r="I359" s="323"/>
    </row>
    <row r="360" ht="15.0" customHeight="1">
      <c r="A360" s="385"/>
      <c r="B360" s="387"/>
      <c r="C360" s="386"/>
      <c r="D360" s="472"/>
      <c r="E360" s="388"/>
      <c r="F360" s="388"/>
      <c r="G360" s="388"/>
      <c r="H360" s="389"/>
      <c r="I360" s="390"/>
    </row>
    <row r="361" ht="15.0" customHeight="1">
      <c r="A361" s="318"/>
      <c r="B361" s="320"/>
      <c r="C361" s="319"/>
      <c r="D361" s="439"/>
      <c r="E361" s="321"/>
      <c r="F361" s="321"/>
      <c r="G361" s="321"/>
      <c r="H361" s="322"/>
      <c r="I361" s="323"/>
    </row>
    <row r="362" ht="15.0" customHeight="1">
      <c r="A362" s="385"/>
      <c r="B362" s="387"/>
      <c r="C362" s="386"/>
      <c r="D362" s="472"/>
      <c r="E362" s="388"/>
      <c r="F362" s="388"/>
      <c r="G362" s="388"/>
      <c r="H362" s="389"/>
      <c r="I362" s="390"/>
    </row>
    <row r="363" ht="15.0" customHeight="1">
      <c r="A363" s="318"/>
      <c r="B363" s="320"/>
      <c r="C363" s="319"/>
      <c r="D363" s="439"/>
      <c r="E363" s="321"/>
      <c r="F363" s="321"/>
      <c r="G363" s="321"/>
      <c r="H363" s="322"/>
      <c r="I363" s="323"/>
    </row>
    <row r="364" ht="15.0" customHeight="1">
      <c r="A364" s="385"/>
      <c r="B364" s="387"/>
      <c r="C364" s="386"/>
      <c r="D364" s="472"/>
      <c r="E364" s="388"/>
      <c r="F364" s="388"/>
      <c r="G364" s="388"/>
      <c r="H364" s="389"/>
      <c r="I364" s="390"/>
    </row>
    <row r="365" ht="15.0" customHeight="1">
      <c r="A365" s="318"/>
      <c r="B365" s="320"/>
      <c r="C365" s="319"/>
      <c r="D365" s="439"/>
      <c r="E365" s="321"/>
      <c r="F365" s="321"/>
      <c r="G365" s="321"/>
      <c r="H365" s="322"/>
      <c r="I365" s="323"/>
    </row>
    <row r="366" ht="15.0" customHeight="1">
      <c r="A366" s="385"/>
      <c r="B366" s="387"/>
      <c r="C366" s="386"/>
      <c r="D366" s="472"/>
      <c r="E366" s="388"/>
      <c r="F366" s="388"/>
      <c r="G366" s="388"/>
      <c r="H366" s="389"/>
      <c r="I366" s="390"/>
    </row>
    <row r="367" ht="15.0" customHeight="1">
      <c r="A367" s="318"/>
      <c r="B367" s="320"/>
      <c r="C367" s="319"/>
      <c r="D367" s="439"/>
      <c r="E367" s="321"/>
      <c r="F367" s="321"/>
      <c r="G367" s="321"/>
      <c r="H367" s="322"/>
      <c r="I367" s="323"/>
    </row>
    <row r="368" ht="15.0" customHeight="1">
      <c r="A368" s="385"/>
      <c r="B368" s="387"/>
      <c r="C368" s="386"/>
      <c r="D368" s="472"/>
      <c r="E368" s="388"/>
      <c r="F368" s="388"/>
      <c r="G368" s="388"/>
      <c r="H368" s="389"/>
      <c r="I368" s="390"/>
    </row>
    <row r="369" ht="15.0" customHeight="1">
      <c r="A369" s="318"/>
      <c r="B369" s="320"/>
      <c r="C369" s="319"/>
      <c r="D369" s="439"/>
      <c r="E369" s="321"/>
      <c r="F369" s="321"/>
      <c r="G369" s="321"/>
      <c r="H369" s="322"/>
      <c r="I369" s="323"/>
    </row>
    <row r="370" ht="15.0" customHeight="1">
      <c r="A370" s="385"/>
      <c r="B370" s="387"/>
      <c r="C370" s="386"/>
      <c r="D370" s="472"/>
      <c r="E370" s="388"/>
      <c r="F370" s="388"/>
      <c r="G370" s="388"/>
      <c r="H370" s="389"/>
      <c r="I370" s="390"/>
    </row>
    <row r="371" ht="15.0" customHeight="1">
      <c r="A371" s="318"/>
      <c r="B371" s="320"/>
      <c r="C371" s="319"/>
      <c r="D371" s="439"/>
      <c r="E371" s="321"/>
      <c r="F371" s="321"/>
      <c r="G371" s="321"/>
      <c r="H371" s="322"/>
      <c r="I371" s="323"/>
    </row>
    <row r="372" ht="15.0" customHeight="1">
      <c r="A372" s="385"/>
      <c r="B372" s="387"/>
      <c r="C372" s="386"/>
      <c r="D372" s="472"/>
      <c r="E372" s="388"/>
      <c r="F372" s="388"/>
      <c r="G372" s="388"/>
      <c r="H372" s="389"/>
      <c r="I372" s="390"/>
    </row>
    <row r="373" ht="15.0" customHeight="1">
      <c r="A373" s="318"/>
      <c r="B373" s="320"/>
      <c r="C373" s="319"/>
      <c r="D373" s="439"/>
      <c r="E373" s="321"/>
      <c r="F373" s="321"/>
      <c r="G373" s="321"/>
      <c r="H373" s="322"/>
      <c r="I373" s="323"/>
    </row>
    <row r="374" ht="15.0" customHeight="1">
      <c r="A374" s="385"/>
      <c r="B374" s="387"/>
      <c r="C374" s="386"/>
      <c r="D374" s="472"/>
      <c r="E374" s="388"/>
      <c r="F374" s="388"/>
      <c r="G374" s="388"/>
      <c r="H374" s="389"/>
      <c r="I374" s="390"/>
    </row>
    <row r="375" ht="15.0" customHeight="1">
      <c r="A375" s="318"/>
      <c r="B375" s="320"/>
      <c r="C375" s="319"/>
      <c r="D375" s="439"/>
      <c r="E375" s="321"/>
      <c r="F375" s="321"/>
      <c r="G375" s="321"/>
      <c r="H375" s="322"/>
      <c r="I375" s="323"/>
    </row>
    <row r="376" ht="15.0" customHeight="1">
      <c r="A376" s="385"/>
      <c r="B376" s="387"/>
      <c r="C376" s="386"/>
      <c r="D376" s="472"/>
      <c r="E376" s="388"/>
      <c r="F376" s="388"/>
      <c r="G376" s="388"/>
      <c r="H376" s="389"/>
      <c r="I376" s="390"/>
    </row>
    <row r="377" ht="15.0" customHeight="1">
      <c r="A377" s="318"/>
      <c r="B377" s="320"/>
      <c r="C377" s="319"/>
      <c r="D377" s="439"/>
      <c r="E377" s="321"/>
      <c r="F377" s="321"/>
      <c r="G377" s="321"/>
      <c r="H377" s="322"/>
      <c r="I377" s="323"/>
    </row>
    <row r="378" ht="15.0" customHeight="1">
      <c r="A378" s="385"/>
      <c r="B378" s="387"/>
      <c r="C378" s="386"/>
      <c r="D378" s="472"/>
      <c r="E378" s="388"/>
      <c r="F378" s="388"/>
      <c r="G378" s="388"/>
      <c r="H378" s="389"/>
      <c r="I378" s="390"/>
    </row>
    <row r="379" ht="15.0" customHeight="1">
      <c r="A379" s="318"/>
      <c r="B379" s="320"/>
      <c r="C379" s="319"/>
      <c r="D379" s="439"/>
      <c r="E379" s="321"/>
      <c r="F379" s="321"/>
      <c r="G379" s="321"/>
      <c r="H379" s="322"/>
      <c r="I379" s="323"/>
    </row>
    <row r="380" ht="15.0" customHeight="1">
      <c r="A380" s="385"/>
      <c r="B380" s="387"/>
      <c r="C380" s="386"/>
      <c r="D380" s="472"/>
      <c r="E380" s="388"/>
      <c r="F380" s="388"/>
      <c r="G380" s="388"/>
      <c r="H380" s="389"/>
      <c r="I380" s="390"/>
    </row>
    <row r="381" ht="15.0" customHeight="1">
      <c r="A381" s="318"/>
      <c r="B381" s="320"/>
      <c r="C381" s="319"/>
      <c r="D381" s="439"/>
      <c r="E381" s="321"/>
      <c r="F381" s="321"/>
      <c r="G381" s="321"/>
      <c r="H381" s="322"/>
      <c r="I381" s="323"/>
    </row>
    <row r="382" ht="15.0" customHeight="1">
      <c r="A382" s="385"/>
      <c r="B382" s="387"/>
      <c r="C382" s="386"/>
      <c r="D382" s="472"/>
      <c r="E382" s="388"/>
      <c r="F382" s="388"/>
      <c r="G382" s="388"/>
      <c r="H382" s="389"/>
      <c r="I382" s="390"/>
    </row>
    <row r="383" ht="15.0" customHeight="1">
      <c r="A383" s="318"/>
      <c r="B383" s="320"/>
      <c r="C383" s="319"/>
      <c r="D383" s="439"/>
      <c r="E383" s="321"/>
      <c r="F383" s="321"/>
      <c r="G383" s="321"/>
      <c r="H383" s="322"/>
      <c r="I383" s="323"/>
    </row>
    <row r="384" ht="15.0" customHeight="1">
      <c r="A384" s="385"/>
      <c r="B384" s="387"/>
      <c r="C384" s="386"/>
      <c r="D384" s="472"/>
      <c r="E384" s="388"/>
      <c r="F384" s="388"/>
      <c r="G384" s="388"/>
      <c r="H384" s="389"/>
      <c r="I384" s="390"/>
    </row>
    <row r="385" ht="15.0" customHeight="1">
      <c r="A385" s="318"/>
      <c r="B385" s="320"/>
      <c r="C385" s="319"/>
      <c r="D385" s="439"/>
      <c r="E385" s="321"/>
      <c r="F385" s="321"/>
      <c r="G385" s="321"/>
      <c r="H385" s="322"/>
      <c r="I385" s="323"/>
    </row>
    <row r="386" ht="15.0" customHeight="1">
      <c r="A386" s="385"/>
      <c r="B386" s="387"/>
      <c r="C386" s="386"/>
      <c r="D386" s="472"/>
      <c r="E386" s="388"/>
      <c r="F386" s="388"/>
      <c r="G386" s="388"/>
      <c r="H386" s="389"/>
      <c r="I386" s="390"/>
    </row>
    <row r="387" ht="15.0" customHeight="1">
      <c r="A387" s="318"/>
      <c r="B387" s="320"/>
      <c r="C387" s="319"/>
      <c r="D387" s="439"/>
      <c r="E387" s="321"/>
      <c r="F387" s="321"/>
      <c r="G387" s="321"/>
      <c r="H387" s="322"/>
      <c r="I387" s="323"/>
    </row>
    <row r="388" ht="15.0" customHeight="1">
      <c r="A388" s="385"/>
      <c r="B388" s="387"/>
      <c r="C388" s="386"/>
      <c r="D388" s="472"/>
      <c r="E388" s="388"/>
      <c r="F388" s="388"/>
      <c r="G388" s="388"/>
      <c r="H388" s="389"/>
      <c r="I388" s="390"/>
    </row>
    <row r="389" ht="15.0" customHeight="1">
      <c r="A389" s="318"/>
      <c r="B389" s="320"/>
      <c r="C389" s="319"/>
      <c r="D389" s="439"/>
      <c r="E389" s="321"/>
      <c r="F389" s="321"/>
      <c r="G389" s="321"/>
      <c r="H389" s="322"/>
      <c r="I389" s="323"/>
    </row>
    <row r="390" ht="15.0" customHeight="1">
      <c r="A390" s="385"/>
      <c r="B390" s="387"/>
      <c r="C390" s="386"/>
      <c r="D390" s="472"/>
      <c r="E390" s="388"/>
      <c r="F390" s="388"/>
      <c r="G390" s="388"/>
      <c r="H390" s="389"/>
      <c r="I390" s="390"/>
    </row>
    <row r="391" ht="6.0" customHeight="1">
      <c r="A391" s="334"/>
      <c r="B391" s="334"/>
      <c r="C391" s="334"/>
      <c r="D391" s="441"/>
      <c r="E391" s="336"/>
      <c r="F391" s="336"/>
      <c r="G391" s="336"/>
      <c r="H391" s="334"/>
      <c r="I391" s="334"/>
    </row>
    <row r="392" ht="21.75" customHeight="1">
      <c r="A392" s="433" t="s">
        <v>521</v>
      </c>
      <c r="B392" s="56"/>
      <c r="C392" s="434"/>
      <c r="D392" s="435"/>
      <c r="E392" s="436"/>
      <c r="F392" s="473" t="s">
        <v>571</v>
      </c>
      <c r="G392" s="438">
        <f>SUM(G393:G490)</f>
        <v>0</v>
      </c>
      <c r="H392" s="434"/>
      <c r="I392" s="434"/>
    </row>
    <row r="393" ht="15.0" customHeight="1">
      <c r="A393" s="394"/>
      <c r="B393" s="396"/>
      <c r="C393" s="395"/>
      <c r="D393" s="474"/>
      <c r="E393" s="397"/>
      <c r="F393" s="397"/>
      <c r="G393" s="397"/>
      <c r="H393" s="398"/>
      <c r="I393" s="399"/>
    </row>
    <row r="394" ht="15.0" customHeight="1">
      <c r="A394" s="401"/>
      <c r="B394" s="403"/>
      <c r="C394" s="402"/>
      <c r="D394" s="475"/>
      <c r="E394" s="404"/>
      <c r="F394" s="404"/>
      <c r="G394" s="404"/>
      <c r="H394" s="405"/>
      <c r="I394" s="406"/>
    </row>
    <row r="395" ht="15.0" customHeight="1">
      <c r="A395" s="394"/>
      <c r="B395" s="396"/>
      <c r="C395" s="395"/>
      <c r="D395" s="474"/>
      <c r="E395" s="397"/>
      <c r="F395" s="397"/>
      <c r="G395" s="397"/>
      <c r="H395" s="398"/>
      <c r="I395" s="399"/>
    </row>
    <row r="396" ht="15.0" customHeight="1">
      <c r="A396" s="401"/>
      <c r="B396" s="403"/>
      <c r="C396" s="402"/>
      <c r="D396" s="475"/>
      <c r="E396" s="404"/>
      <c r="F396" s="404"/>
      <c r="G396" s="404"/>
      <c r="H396" s="405"/>
      <c r="I396" s="406"/>
    </row>
    <row r="397" ht="15.0" customHeight="1">
      <c r="A397" s="394"/>
      <c r="B397" s="396"/>
      <c r="C397" s="395"/>
      <c r="D397" s="474"/>
      <c r="E397" s="397"/>
      <c r="F397" s="397"/>
      <c r="G397" s="397"/>
      <c r="H397" s="398"/>
      <c r="I397" s="399"/>
    </row>
    <row r="398" ht="15.0" customHeight="1">
      <c r="A398" s="401"/>
      <c r="B398" s="403"/>
      <c r="C398" s="402"/>
      <c r="D398" s="475"/>
      <c r="E398" s="404"/>
      <c r="F398" s="404"/>
      <c r="G398" s="404"/>
      <c r="H398" s="405"/>
      <c r="I398" s="406"/>
    </row>
    <row r="399" ht="15.0" customHeight="1">
      <c r="A399" s="394"/>
      <c r="B399" s="396"/>
      <c r="C399" s="395"/>
      <c r="D399" s="474"/>
      <c r="E399" s="397"/>
      <c r="F399" s="397"/>
      <c r="G399" s="397"/>
      <c r="H399" s="398"/>
      <c r="I399" s="399"/>
    </row>
    <row r="400" ht="15.0" customHeight="1">
      <c r="A400" s="401"/>
      <c r="B400" s="403"/>
      <c r="C400" s="402"/>
      <c r="D400" s="475"/>
      <c r="E400" s="404"/>
      <c r="F400" s="404"/>
      <c r="G400" s="404"/>
      <c r="H400" s="405"/>
      <c r="I400" s="406"/>
    </row>
    <row r="401" ht="15.0" customHeight="1">
      <c r="A401" s="394"/>
      <c r="B401" s="396"/>
      <c r="C401" s="395"/>
      <c r="D401" s="474"/>
      <c r="E401" s="397"/>
      <c r="F401" s="397"/>
      <c r="G401" s="397"/>
      <c r="H401" s="398"/>
      <c r="I401" s="399"/>
    </row>
    <row r="402" ht="15.0" customHeight="1">
      <c r="A402" s="401"/>
      <c r="B402" s="403"/>
      <c r="C402" s="402"/>
      <c r="D402" s="475"/>
      <c r="E402" s="404"/>
      <c r="F402" s="404"/>
      <c r="G402" s="404"/>
      <c r="H402" s="405"/>
      <c r="I402" s="406"/>
    </row>
    <row r="403" ht="15.0" customHeight="1">
      <c r="A403" s="394"/>
      <c r="B403" s="396"/>
      <c r="C403" s="395"/>
      <c r="D403" s="474"/>
      <c r="E403" s="397"/>
      <c r="F403" s="397"/>
      <c r="G403" s="397"/>
      <c r="H403" s="398"/>
      <c r="I403" s="399"/>
    </row>
    <row r="404" ht="15.0" customHeight="1">
      <c r="A404" s="401"/>
      <c r="B404" s="403"/>
      <c r="C404" s="402"/>
      <c r="D404" s="475"/>
      <c r="E404" s="404"/>
      <c r="F404" s="404"/>
      <c r="G404" s="404"/>
      <c r="H404" s="405"/>
      <c r="I404" s="406"/>
    </row>
    <row r="405" ht="15.0" customHeight="1">
      <c r="A405" s="394"/>
      <c r="B405" s="396"/>
      <c r="C405" s="395"/>
      <c r="D405" s="474"/>
      <c r="E405" s="397"/>
      <c r="F405" s="397"/>
      <c r="G405" s="397"/>
      <c r="H405" s="398"/>
      <c r="I405" s="399"/>
    </row>
    <row r="406" ht="15.0" customHeight="1">
      <c r="A406" s="401"/>
      <c r="B406" s="403"/>
      <c r="C406" s="402"/>
      <c r="D406" s="475"/>
      <c r="E406" s="404"/>
      <c r="F406" s="404"/>
      <c r="G406" s="404"/>
      <c r="H406" s="405"/>
      <c r="I406" s="406"/>
    </row>
    <row r="407" ht="15.0" customHeight="1">
      <c r="A407" s="394"/>
      <c r="B407" s="396"/>
      <c r="C407" s="395"/>
      <c r="D407" s="474"/>
      <c r="E407" s="397"/>
      <c r="F407" s="397"/>
      <c r="G407" s="397"/>
      <c r="H407" s="398"/>
      <c r="I407" s="399"/>
    </row>
    <row r="408" ht="15.0" customHeight="1">
      <c r="A408" s="401"/>
      <c r="B408" s="403"/>
      <c r="C408" s="402"/>
      <c r="D408" s="475"/>
      <c r="E408" s="404"/>
      <c r="F408" s="404"/>
      <c r="G408" s="404"/>
      <c r="H408" s="405"/>
      <c r="I408" s="406"/>
    </row>
    <row r="409" ht="15.0" customHeight="1">
      <c r="A409" s="394"/>
      <c r="B409" s="396"/>
      <c r="C409" s="395"/>
      <c r="D409" s="474"/>
      <c r="E409" s="397"/>
      <c r="F409" s="397"/>
      <c r="G409" s="397"/>
      <c r="H409" s="398"/>
      <c r="I409" s="399"/>
    </row>
    <row r="410" ht="15.0" customHeight="1">
      <c r="A410" s="401"/>
      <c r="B410" s="403"/>
      <c r="C410" s="402"/>
      <c r="D410" s="475"/>
      <c r="E410" s="404"/>
      <c r="F410" s="404"/>
      <c r="G410" s="404"/>
      <c r="H410" s="405"/>
      <c r="I410" s="406"/>
    </row>
    <row r="411" ht="15.0" customHeight="1">
      <c r="A411" s="394"/>
      <c r="B411" s="396"/>
      <c r="C411" s="395"/>
      <c r="D411" s="474"/>
      <c r="E411" s="397"/>
      <c r="F411" s="397"/>
      <c r="G411" s="397"/>
      <c r="H411" s="398"/>
      <c r="I411" s="399"/>
    </row>
    <row r="412" ht="15.0" customHeight="1">
      <c r="A412" s="401"/>
      <c r="B412" s="403"/>
      <c r="C412" s="402"/>
      <c r="D412" s="475"/>
      <c r="E412" s="404"/>
      <c r="F412" s="404"/>
      <c r="G412" s="404"/>
      <c r="H412" s="405"/>
      <c r="I412" s="406"/>
    </row>
    <row r="413" ht="15.0" customHeight="1">
      <c r="A413" s="394"/>
      <c r="B413" s="396"/>
      <c r="C413" s="395"/>
      <c r="D413" s="474"/>
      <c r="E413" s="397"/>
      <c r="F413" s="397"/>
      <c r="G413" s="397"/>
      <c r="H413" s="398"/>
      <c r="I413" s="399"/>
    </row>
    <row r="414" ht="15.0" customHeight="1">
      <c r="A414" s="401"/>
      <c r="B414" s="403"/>
      <c r="C414" s="402"/>
      <c r="D414" s="475"/>
      <c r="E414" s="404"/>
      <c r="F414" s="404"/>
      <c r="G414" s="404"/>
      <c r="H414" s="405"/>
      <c r="I414" s="406"/>
    </row>
    <row r="415" ht="15.0" customHeight="1">
      <c r="A415" s="394"/>
      <c r="B415" s="396"/>
      <c r="C415" s="395"/>
      <c r="D415" s="474"/>
      <c r="E415" s="397"/>
      <c r="F415" s="397"/>
      <c r="G415" s="397"/>
      <c r="H415" s="398"/>
      <c r="I415" s="399"/>
    </row>
    <row r="416" ht="15.0" customHeight="1">
      <c r="A416" s="401"/>
      <c r="B416" s="403"/>
      <c r="C416" s="402"/>
      <c r="D416" s="475"/>
      <c r="E416" s="404"/>
      <c r="F416" s="404"/>
      <c r="G416" s="404"/>
      <c r="H416" s="405"/>
      <c r="I416" s="406"/>
    </row>
    <row r="417" ht="15.0" customHeight="1">
      <c r="A417" s="394"/>
      <c r="B417" s="396"/>
      <c r="C417" s="395"/>
      <c r="D417" s="474"/>
      <c r="E417" s="397"/>
      <c r="F417" s="397"/>
      <c r="G417" s="397"/>
      <c r="H417" s="398"/>
      <c r="I417" s="399"/>
    </row>
    <row r="418" ht="15.0" customHeight="1">
      <c r="A418" s="401"/>
      <c r="B418" s="403"/>
      <c r="C418" s="402"/>
      <c r="D418" s="475"/>
      <c r="E418" s="404"/>
      <c r="F418" s="404"/>
      <c r="G418" s="404"/>
      <c r="H418" s="405"/>
      <c r="I418" s="406"/>
    </row>
    <row r="419" ht="15.0" customHeight="1">
      <c r="A419" s="394"/>
      <c r="B419" s="396"/>
      <c r="C419" s="395"/>
      <c r="D419" s="474"/>
      <c r="E419" s="397"/>
      <c r="F419" s="397"/>
      <c r="G419" s="397"/>
      <c r="H419" s="398"/>
      <c r="I419" s="399"/>
    </row>
    <row r="420" ht="15.0" customHeight="1">
      <c r="A420" s="401"/>
      <c r="B420" s="403"/>
      <c r="C420" s="402"/>
      <c r="D420" s="475"/>
      <c r="E420" s="404"/>
      <c r="F420" s="404"/>
      <c r="G420" s="404"/>
      <c r="H420" s="405"/>
      <c r="I420" s="406"/>
    </row>
    <row r="421" ht="15.0" customHeight="1">
      <c r="A421" s="394"/>
      <c r="B421" s="396"/>
      <c r="C421" s="395"/>
      <c r="D421" s="474"/>
      <c r="E421" s="397"/>
      <c r="F421" s="397"/>
      <c r="G421" s="397"/>
      <c r="H421" s="398"/>
      <c r="I421" s="399"/>
    </row>
    <row r="422" ht="15.0" customHeight="1">
      <c r="A422" s="401"/>
      <c r="B422" s="403"/>
      <c r="C422" s="402"/>
      <c r="D422" s="475"/>
      <c r="E422" s="404"/>
      <c r="F422" s="404"/>
      <c r="G422" s="404"/>
      <c r="H422" s="405"/>
      <c r="I422" s="406"/>
    </row>
    <row r="423" ht="15.0" customHeight="1">
      <c r="A423" s="394"/>
      <c r="B423" s="396"/>
      <c r="C423" s="395"/>
      <c r="D423" s="474"/>
      <c r="E423" s="397"/>
      <c r="F423" s="397"/>
      <c r="G423" s="397"/>
      <c r="H423" s="398"/>
      <c r="I423" s="399"/>
    </row>
    <row r="424" ht="15.0" customHeight="1">
      <c r="A424" s="401"/>
      <c r="B424" s="403"/>
      <c r="C424" s="402"/>
      <c r="D424" s="475"/>
      <c r="E424" s="404"/>
      <c r="F424" s="404"/>
      <c r="G424" s="404"/>
      <c r="H424" s="405"/>
      <c r="I424" s="406"/>
    </row>
    <row r="425" ht="15.0" customHeight="1">
      <c r="A425" s="394"/>
      <c r="B425" s="396"/>
      <c r="C425" s="395"/>
      <c r="D425" s="474"/>
      <c r="E425" s="397"/>
      <c r="F425" s="397"/>
      <c r="G425" s="397"/>
      <c r="H425" s="398"/>
      <c r="I425" s="399"/>
    </row>
    <row r="426" ht="15.0" customHeight="1">
      <c r="A426" s="401"/>
      <c r="B426" s="403"/>
      <c r="C426" s="402"/>
      <c r="D426" s="475"/>
      <c r="E426" s="404"/>
      <c r="F426" s="404"/>
      <c r="G426" s="404"/>
      <c r="H426" s="405"/>
      <c r="I426" s="406"/>
    </row>
    <row r="427" ht="15.0" customHeight="1">
      <c r="A427" s="394"/>
      <c r="B427" s="396"/>
      <c r="C427" s="395"/>
      <c r="D427" s="474"/>
      <c r="E427" s="397"/>
      <c r="F427" s="397"/>
      <c r="G427" s="397"/>
      <c r="H427" s="398"/>
      <c r="I427" s="399"/>
    </row>
    <row r="428" ht="15.0" customHeight="1">
      <c r="A428" s="401"/>
      <c r="B428" s="403"/>
      <c r="C428" s="402"/>
      <c r="D428" s="475"/>
      <c r="E428" s="404"/>
      <c r="F428" s="404"/>
      <c r="G428" s="404"/>
      <c r="H428" s="405"/>
      <c r="I428" s="406"/>
    </row>
    <row r="429" ht="15.0" customHeight="1">
      <c r="A429" s="394"/>
      <c r="B429" s="396"/>
      <c r="C429" s="395"/>
      <c r="D429" s="474"/>
      <c r="E429" s="397"/>
      <c r="F429" s="397"/>
      <c r="G429" s="397"/>
      <c r="H429" s="398"/>
      <c r="I429" s="399"/>
    </row>
    <row r="430" ht="15.0" customHeight="1">
      <c r="A430" s="401"/>
      <c r="B430" s="403"/>
      <c r="C430" s="402"/>
      <c r="D430" s="475"/>
      <c r="E430" s="404"/>
      <c r="F430" s="404"/>
      <c r="G430" s="404"/>
      <c r="H430" s="405"/>
      <c r="I430" s="406"/>
    </row>
    <row r="431" ht="15.0" customHeight="1">
      <c r="A431" s="394"/>
      <c r="B431" s="396"/>
      <c r="C431" s="395"/>
      <c r="D431" s="474"/>
      <c r="E431" s="397"/>
      <c r="F431" s="397"/>
      <c r="G431" s="397"/>
      <c r="H431" s="398"/>
      <c r="I431" s="399"/>
    </row>
    <row r="432" ht="15.0" customHeight="1">
      <c r="A432" s="401"/>
      <c r="B432" s="403"/>
      <c r="C432" s="402"/>
      <c r="D432" s="475"/>
      <c r="E432" s="404"/>
      <c r="F432" s="404"/>
      <c r="G432" s="404"/>
      <c r="H432" s="405"/>
      <c r="I432" s="406"/>
    </row>
    <row r="433" ht="15.0" customHeight="1">
      <c r="A433" s="394"/>
      <c r="B433" s="396"/>
      <c r="C433" s="395"/>
      <c r="D433" s="474"/>
      <c r="E433" s="397"/>
      <c r="F433" s="397"/>
      <c r="G433" s="397"/>
      <c r="H433" s="398"/>
      <c r="I433" s="399"/>
    </row>
    <row r="434" ht="15.0" customHeight="1">
      <c r="A434" s="401"/>
      <c r="B434" s="403"/>
      <c r="C434" s="402"/>
      <c r="D434" s="475"/>
      <c r="E434" s="404"/>
      <c r="F434" s="404"/>
      <c r="G434" s="404"/>
      <c r="H434" s="405"/>
      <c r="I434" s="406"/>
    </row>
    <row r="435" ht="15.0" customHeight="1">
      <c r="A435" s="394"/>
      <c r="B435" s="396"/>
      <c r="C435" s="395"/>
      <c r="D435" s="474"/>
      <c r="E435" s="397"/>
      <c r="F435" s="397"/>
      <c r="G435" s="397"/>
      <c r="H435" s="398"/>
      <c r="I435" s="399"/>
    </row>
    <row r="436" ht="15.0" customHeight="1">
      <c r="A436" s="401"/>
      <c r="B436" s="403"/>
      <c r="C436" s="402"/>
      <c r="D436" s="475"/>
      <c r="E436" s="404"/>
      <c r="F436" s="404"/>
      <c r="G436" s="404"/>
      <c r="H436" s="405"/>
      <c r="I436" s="406"/>
    </row>
    <row r="437" ht="15.0" customHeight="1">
      <c r="A437" s="394"/>
      <c r="B437" s="396"/>
      <c r="C437" s="395"/>
      <c r="D437" s="474"/>
      <c r="E437" s="397"/>
      <c r="F437" s="397"/>
      <c r="G437" s="397"/>
      <c r="H437" s="398"/>
      <c r="I437" s="399"/>
    </row>
    <row r="438" ht="15.0" customHeight="1">
      <c r="A438" s="401"/>
      <c r="B438" s="403"/>
      <c r="C438" s="402"/>
      <c r="D438" s="475"/>
      <c r="E438" s="404"/>
      <c r="F438" s="404"/>
      <c r="G438" s="404"/>
      <c r="H438" s="405"/>
      <c r="I438" s="406"/>
    </row>
    <row r="439" ht="15.0" customHeight="1">
      <c r="A439" s="394"/>
      <c r="B439" s="396"/>
      <c r="C439" s="395"/>
      <c r="D439" s="474"/>
      <c r="E439" s="397"/>
      <c r="F439" s="397"/>
      <c r="G439" s="397"/>
      <c r="H439" s="398"/>
      <c r="I439" s="399"/>
    </row>
    <row r="440" ht="15.0" customHeight="1">
      <c r="A440" s="401"/>
      <c r="B440" s="403"/>
      <c r="C440" s="402"/>
      <c r="D440" s="475"/>
      <c r="E440" s="404"/>
      <c r="F440" s="404"/>
      <c r="G440" s="404"/>
      <c r="H440" s="405"/>
      <c r="I440" s="406"/>
    </row>
    <row r="441" ht="15.0" customHeight="1">
      <c r="A441" s="394"/>
      <c r="B441" s="396"/>
      <c r="C441" s="395"/>
      <c r="D441" s="474"/>
      <c r="E441" s="397"/>
      <c r="F441" s="397"/>
      <c r="G441" s="397"/>
      <c r="H441" s="398"/>
      <c r="I441" s="399"/>
    </row>
    <row r="442" ht="15.0" customHeight="1">
      <c r="A442" s="401"/>
      <c r="B442" s="403"/>
      <c r="C442" s="402"/>
      <c r="D442" s="475"/>
      <c r="E442" s="404"/>
      <c r="F442" s="404"/>
      <c r="G442" s="404"/>
      <c r="H442" s="405"/>
      <c r="I442" s="406"/>
    </row>
    <row r="443" ht="15.0" customHeight="1">
      <c r="A443" s="394"/>
      <c r="B443" s="396"/>
      <c r="C443" s="395"/>
      <c r="D443" s="474"/>
      <c r="E443" s="397"/>
      <c r="F443" s="397"/>
      <c r="G443" s="397"/>
      <c r="H443" s="398"/>
      <c r="I443" s="399"/>
    </row>
    <row r="444" ht="15.0" customHeight="1">
      <c r="A444" s="401"/>
      <c r="B444" s="403"/>
      <c r="C444" s="402"/>
      <c r="D444" s="475"/>
      <c r="E444" s="404"/>
      <c r="F444" s="404"/>
      <c r="G444" s="404"/>
      <c r="H444" s="405"/>
      <c r="I444" s="406"/>
    </row>
    <row r="445" ht="15.0" customHeight="1">
      <c r="A445" s="394"/>
      <c r="B445" s="396"/>
      <c r="C445" s="395"/>
      <c r="D445" s="474"/>
      <c r="E445" s="397"/>
      <c r="F445" s="397"/>
      <c r="G445" s="397"/>
      <c r="H445" s="398"/>
      <c r="I445" s="399"/>
    </row>
    <row r="446" ht="15.0" customHeight="1">
      <c r="A446" s="401"/>
      <c r="B446" s="403"/>
      <c r="C446" s="402"/>
      <c r="D446" s="475"/>
      <c r="E446" s="404"/>
      <c r="F446" s="404"/>
      <c r="G446" s="404"/>
      <c r="H446" s="405"/>
      <c r="I446" s="406"/>
    </row>
    <row r="447" ht="15.0" customHeight="1">
      <c r="A447" s="394"/>
      <c r="B447" s="396"/>
      <c r="C447" s="395"/>
      <c r="D447" s="474"/>
      <c r="E447" s="397"/>
      <c r="F447" s="397"/>
      <c r="G447" s="397"/>
      <c r="H447" s="398"/>
      <c r="I447" s="399"/>
    </row>
    <row r="448" ht="15.0" customHeight="1">
      <c r="A448" s="401"/>
      <c r="B448" s="403"/>
      <c r="C448" s="402"/>
      <c r="D448" s="475"/>
      <c r="E448" s="404"/>
      <c r="F448" s="404"/>
      <c r="G448" s="404"/>
      <c r="H448" s="405"/>
      <c r="I448" s="406"/>
    </row>
    <row r="449" ht="15.0" customHeight="1">
      <c r="A449" s="394"/>
      <c r="B449" s="396"/>
      <c r="C449" s="395"/>
      <c r="D449" s="474"/>
      <c r="E449" s="397"/>
      <c r="F449" s="397"/>
      <c r="G449" s="397"/>
      <c r="H449" s="398"/>
      <c r="I449" s="399"/>
    </row>
    <row r="450" ht="15.0" customHeight="1">
      <c r="A450" s="401"/>
      <c r="B450" s="403"/>
      <c r="C450" s="402"/>
      <c r="D450" s="475"/>
      <c r="E450" s="404"/>
      <c r="F450" s="404"/>
      <c r="G450" s="404"/>
      <c r="H450" s="405"/>
      <c r="I450" s="406"/>
    </row>
    <row r="451" ht="15.0" customHeight="1">
      <c r="A451" s="394"/>
      <c r="B451" s="396"/>
      <c r="C451" s="395"/>
      <c r="D451" s="474"/>
      <c r="E451" s="397"/>
      <c r="F451" s="397"/>
      <c r="G451" s="397"/>
      <c r="H451" s="398"/>
      <c r="I451" s="399"/>
    </row>
    <row r="452" ht="15.0" customHeight="1">
      <c r="A452" s="401"/>
      <c r="B452" s="403"/>
      <c r="C452" s="402"/>
      <c r="D452" s="475"/>
      <c r="E452" s="404"/>
      <c r="F452" s="404"/>
      <c r="G452" s="404"/>
      <c r="H452" s="405"/>
      <c r="I452" s="406"/>
    </row>
    <row r="453" ht="15.0" customHeight="1">
      <c r="A453" s="394"/>
      <c r="B453" s="396"/>
      <c r="C453" s="395"/>
      <c r="D453" s="474"/>
      <c r="E453" s="397"/>
      <c r="F453" s="397"/>
      <c r="G453" s="397"/>
      <c r="H453" s="398"/>
      <c r="I453" s="399"/>
    </row>
    <row r="454" ht="15.0" customHeight="1">
      <c r="A454" s="401"/>
      <c r="B454" s="403"/>
      <c r="C454" s="402"/>
      <c r="D454" s="475"/>
      <c r="E454" s="404"/>
      <c r="F454" s="404"/>
      <c r="G454" s="404"/>
      <c r="H454" s="405"/>
      <c r="I454" s="406"/>
    </row>
    <row r="455" ht="15.0" customHeight="1">
      <c r="A455" s="394"/>
      <c r="B455" s="396"/>
      <c r="C455" s="395"/>
      <c r="D455" s="474"/>
      <c r="E455" s="397"/>
      <c r="F455" s="397"/>
      <c r="G455" s="397"/>
      <c r="H455" s="398"/>
      <c r="I455" s="399"/>
    </row>
    <row r="456" ht="15.0" customHeight="1">
      <c r="A456" s="401"/>
      <c r="B456" s="403"/>
      <c r="C456" s="402"/>
      <c r="D456" s="475"/>
      <c r="E456" s="404"/>
      <c r="F456" s="404"/>
      <c r="G456" s="404"/>
      <c r="H456" s="405"/>
      <c r="I456" s="406"/>
    </row>
    <row r="457" ht="15.0" customHeight="1">
      <c r="A457" s="394"/>
      <c r="B457" s="396"/>
      <c r="C457" s="395"/>
      <c r="D457" s="474"/>
      <c r="E457" s="397"/>
      <c r="F457" s="397"/>
      <c r="G457" s="397"/>
      <c r="H457" s="398"/>
      <c r="I457" s="399"/>
    </row>
    <row r="458" ht="15.0" customHeight="1">
      <c r="A458" s="401"/>
      <c r="B458" s="403"/>
      <c r="C458" s="402"/>
      <c r="D458" s="475"/>
      <c r="E458" s="404"/>
      <c r="F458" s="404"/>
      <c r="G458" s="404"/>
      <c r="H458" s="405"/>
      <c r="I458" s="406"/>
    </row>
    <row r="459" ht="15.0" customHeight="1">
      <c r="A459" s="394"/>
      <c r="B459" s="396"/>
      <c r="C459" s="395"/>
      <c r="D459" s="474"/>
      <c r="E459" s="397"/>
      <c r="F459" s="397"/>
      <c r="G459" s="397"/>
      <c r="H459" s="398"/>
      <c r="I459" s="399"/>
    </row>
    <row r="460" ht="15.0" customHeight="1">
      <c r="A460" s="401"/>
      <c r="B460" s="403"/>
      <c r="C460" s="402"/>
      <c r="D460" s="475"/>
      <c r="E460" s="404"/>
      <c r="F460" s="404"/>
      <c r="G460" s="404"/>
      <c r="H460" s="405"/>
      <c r="I460" s="406"/>
    </row>
    <row r="461" ht="15.0" customHeight="1">
      <c r="A461" s="394"/>
      <c r="B461" s="396"/>
      <c r="C461" s="395"/>
      <c r="D461" s="474"/>
      <c r="E461" s="397"/>
      <c r="F461" s="397"/>
      <c r="G461" s="397"/>
      <c r="H461" s="398"/>
      <c r="I461" s="399"/>
    </row>
    <row r="462" ht="15.0" customHeight="1">
      <c r="A462" s="401"/>
      <c r="B462" s="403"/>
      <c r="C462" s="402"/>
      <c r="D462" s="475"/>
      <c r="E462" s="404"/>
      <c r="F462" s="404"/>
      <c r="G462" s="404"/>
      <c r="H462" s="405"/>
      <c r="I462" s="406"/>
    </row>
    <row r="463" ht="15.0" customHeight="1">
      <c r="A463" s="394"/>
      <c r="B463" s="396"/>
      <c r="C463" s="395"/>
      <c r="D463" s="474"/>
      <c r="E463" s="397"/>
      <c r="F463" s="397"/>
      <c r="G463" s="397"/>
      <c r="H463" s="398"/>
      <c r="I463" s="399"/>
    </row>
    <row r="464" ht="15.0" customHeight="1">
      <c r="A464" s="401"/>
      <c r="B464" s="403"/>
      <c r="C464" s="402"/>
      <c r="D464" s="475"/>
      <c r="E464" s="404"/>
      <c r="F464" s="404"/>
      <c r="G464" s="404"/>
      <c r="H464" s="405"/>
      <c r="I464" s="406"/>
    </row>
    <row r="465" ht="15.0" customHeight="1">
      <c r="A465" s="394"/>
      <c r="B465" s="396"/>
      <c r="C465" s="395"/>
      <c r="D465" s="474"/>
      <c r="E465" s="397"/>
      <c r="F465" s="397"/>
      <c r="G465" s="397"/>
      <c r="H465" s="398"/>
      <c r="I465" s="399"/>
    </row>
    <row r="466" ht="15.0" customHeight="1">
      <c r="A466" s="401"/>
      <c r="B466" s="403"/>
      <c r="C466" s="402"/>
      <c r="D466" s="475"/>
      <c r="E466" s="404"/>
      <c r="F466" s="404"/>
      <c r="G466" s="404"/>
      <c r="H466" s="405"/>
      <c r="I466" s="406"/>
    </row>
    <row r="467" ht="15.0" customHeight="1">
      <c r="A467" s="394"/>
      <c r="B467" s="396"/>
      <c r="C467" s="395"/>
      <c r="D467" s="474"/>
      <c r="E467" s="397"/>
      <c r="F467" s="397"/>
      <c r="G467" s="397"/>
      <c r="H467" s="398"/>
      <c r="I467" s="399"/>
    </row>
    <row r="468" ht="15.0" customHeight="1">
      <c r="A468" s="401"/>
      <c r="B468" s="403"/>
      <c r="C468" s="402"/>
      <c r="D468" s="475"/>
      <c r="E468" s="404"/>
      <c r="F468" s="404"/>
      <c r="G468" s="404"/>
      <c r="H468" s="405"/>
      <c r="I468" s="406"/>
    </row>
    <row r="469" ht="15.0" customHeight="1">
      <c r="A469" s="394"/>
      <c r="B469" s="396"/>
      <c r="C469" s="395"/>
      <c r="D469" s="474"/>
      <c r="E469" s="397"/>
      <c r="F469" s="397"/>
      <c r="G469" s="397"/>
      <c r="H469" s="398"/>
      <c r="I469" s="399"/>
    </row>
    <row r="470" ht="15.0" customHeight="1">
      <c r="A470" s="401"/>
      <c r="B470" s="403"/>
      <c r="C470" s="402"/>
      <c r="D470" s="475"/>
      <c r="E470" s="404"/>
      <c r="F470" s="404"/>
      <c r="G470" s="404"/>
      <c r="H470" s="405"/>
      <c r="I470" s="406"/>
    </row>
    <row r="471" ht="15.0" customHeight="1">
      <c r="A471" s="394"/>
      <c r="B471" s="396"/>
      <c r="C471" s="395"/>
      <c r="D471" s="474"/>
      <c r="E471" s="397"/>
      <c r="F471" s="397"/>
      <c r="G471" s="397"/>
      <c r="H471" s="398"/>
      <c r="I471" s="399"/>
    </row>
    <row r="472" ht="15.0" customHeight="1">
      <c r="A472" s="401"/>
      <c r="B472" s="403"/>
      <c r="C472" s="402"/>
      <c r="D472" s="475"/>
      <c r="E472" s="404"/>
      <c r="F472" s="404"/>
      <c r="G472" s="404"/>
      <c r="H472" s="405"/>
      <c r="I472" s="406"/>
    </row>
    <row r="473" ht="15.0" customHeight="1">
      <c r="A473" s="394"/>
      <c r="B473" s="396"/>
      <c r="C473" s="395"/>
      <c r="D473" s="474"/>
      <c r="E473" s="397"/>
      <c r="F473" s="397"/>
      <c r="G473" s="397"/>
      <c r="H473" s="398"/>
      <c r="I473" s="399"/>
    </row>
    <row r="474" ht="15.0" customHeight="1">
      <c r="A474" s="401"/>
      <c r="B474" s="403"/>
      <c r="C474" s="402"/>
      <c r="D474" s="475"/>
      <c r="E474" s="404"/>
      <c r="F474" s="404"/>
      <c r="G474" s="404"/>
      <c r="H474" s="405"/>
      <c r="I474" s="406"/>
    </row>
    <row r="475" ht="15.0" customHeight="1">
      <c r="A475" s="394"/>
      <c r="B475" s="396"/>
      <c r="C475" s="395"/>
      <c r="D475" s="474"/>
      <c r="E475" s="397"/>
      <c r="F475" s="397"/>
      <c r="G475" s="397"/>
      <c r="H475" s="398"/>
      <c r="I475" s="399"/>
    </row>
    <row r="476" ht="15.0" customHeight="1">
      <c r="A476" s="401"/>
      <c r="B476" s="403"/>
      <c r="C476" s="402"/>
      <c r="D476" s="475"/>
      <c r="E476" s="404"/>
      <c r="F476" s="404"/>
      <c r="G476" s="404"/>
      <c r="H476" s="405"/>
      <c r="I476" s="406"/>
    </row>
    <row r="477" ht="15.0" customHeight="1">
      <c r="A477" s="394"/>
      <c r="B477" s="396"/>
      <c r="C477" s="395"/>
      <c r="D477" s="474"/>
      <c r="E477" s="397"/>
      <c r="F477" s="397"/>
      <c r="G477" s="397"/>
      <c r="H477" s="398"/>
      <c r="I477" s="399"/>
    </row>
    <row r="478" ht="15.0" customHeight="1">
      <c r="A478" s="401"/>
      <c r="B478" s="403"/>
      <c r="C478" s="402"/>
      <c r="D478" s="475"/>
      <c r="E478" s="404"/>
      <c r="F478" s="404"/>
      <c r="G478" s="404"/>
      <c r="H478" s="405"/>
      <c r="I478" s="406"/>
    </row>
    <row r="479" ht="15.0" customHeight="1">
      <c r="A479" s="394"/>
      <c r="B479" s="396"/>
      <c r="C479" s="395"/>
      <c r="D479" s="474"/>
      <c r="E479" s="397"/>
      <c r="F479" s="397"/>
      <c r="G479" s="397"/>
      <c r="H479" s="398"/>
      <c r="I479" s="399"/>
    </row>
    <row r="480" ht="15.0" customHeight="1">
      <c r="A480" s="401"/>
      <c r="B480" s="403"/>
      <c r="C480" s="402"/>
      <c r="D480" s="475"/>
      <c r="E480" s="404"/>
      <c r="F480" s="404"/>
      <c r="G480" s="404"/>
      <c r="H480" s="405"/>
      <c r="I480" s="406"/>
    </row>
    <row r="481" ht="15.0" customHeight="1">
      <c r="A481" s="394"/>
      <c r="B481" s="396"/>
      <c r="C481" s="395"/>
      <c r="D481" s="474"/>
      <c r="E481" s="397"/>
      <c r="F481" s="397"/>
      <c r="G481" s="397"/>
      <c r="H481" s="398"/>
      <c r="I481" s="399"/>
    </row>
    <row r="482" ht="15.0" customHeight="1">
      <c r="A482" s="401"/>
      <c r="B482" s="403"/>
      <c r="C482" s="402"/>
      <c r="D482" s="475"/>
      <c r="E482" s="404"/>
      <c r="F482" s="404"/>
      <c r="G482" s="404"/>
      <c r="H482" s="405"/>
      <c r="I482" s="406"/>
    </row>
    <row r="483" ht="15.0" customHeight="1">
      <c r="A483" s="394"/>
      <c r="B483" s="396"/>
      <c r="C483" s="395"/>
      <c r="D483" s="474"/>
      <c r="E483" s="397"/>
      <c r="F483" s="397"/>
      <c r="G483" s="397"/>
      <c r="H483" s="398"/>
      <c r="I483" s="399"/>
    </row>
    <row r="484" ht="15.0" customHeight="1">
      <c r="A484" s="401"/>
      <c r="B484" s="403"/>
      <c r="C484" s="402"/>
      <c r="D484" s="475"/>
      <c r="E484" s="404"/>
      <c r="F484" s="404"/>
      <c r="G484" s="404"/>
      <c r="H484" s="405"/>
      <c r="I484" s="406"/>
    </row>
    <row r="485" ht="15.0" customHeight="1">
      <c r="A485" s="394"/>
      <c r="B485" s="396"/>
      <c r="C485" s="395"/>
      <c r="D485" s="474"/>
      <c r="E485" s="397"/>
      <c r="F485" s="397"/>
      <c r="G485" s="397"/>
      <c r="H485" s="398"/>
      <c r="I485" s="399"/>
    </row>
    <row r="486" ht="15.0" customHeight="1">
      <c r="A486" s="401"/>
      <c r="B486" s="403"/>
      <c r="C486" s="402"/>
      <c r="D486" s="475"/>
      <c r="E486" s="404"/>
      <c r="F486" s="404"/>
      <c r="G486" s="404"/>
      <c r="H486" s="405"/>
      <c r="I486" s="406"/>
    </row>
    <row r="487" ht="15.0" customHeight="1">
      <c r="A487" s="394"/>
      <c r="B487" s="396"/>
      <c r="C487" s="395"/>
      <c r="D487" s="474"/>
      <c r="E487" s="397"/>
      <c r="F487" s="397"/>
      <c r="G487" s="397"/>
      <c r="H487" s="398"/>
      <c r="I487" s="399"/>
    </row>
    <row r="488" ht="15.0" customHeight="1">
      <c r="A488" s="401"/>
      <c r="B488" s="403"/>
      <c r="C488" s="402"/>
      <c r="D488" s="475"/>
      <c r="E488" s="404"/>
      <c r="F488" s="404"/>
      <c r="G488" s="404"/>
      <c r="H488" s="405"/>
      <c r="I488" s="406"/>
    </row>
    <row r="489" ht="15.0" customHeight="1">
      <c r="A489" s="394"/>
      <c r="B489" s="396"/>
      <c r="C489" s="395"/>
      <c r="D489" s="474"/>
      <c r="E489" s="397"/>
      <c r="F489" s="397"/>
      <c r="G489" s="397"/>
      <c r="H489" s="398"/>
      <c r="I489" s="399"/>
    </row>
    <row r="490" ht="15.0" customHeight="1">
      <c r="A490" s="401"/>
      <c r="B490" s="403"/>
      <c r="C490" s="402"/>
      <c r="D490" s="475"/>
      <c r="E490" s="404"/>
      <c r="F490" s="404"/>
      <c r="G490" s="404"/>
      <c r="H490" s="405"/>
      <c r="I490" s="406"/>
    </row>
    <row r="491" ht="6.0" customHeight="1">
      <c r="A491" s="334"/>
      <c r="B491" s="334"/>
      <c r="C491" s="334"/>
      <c r="D491" s="441"/>
      <c r="E491" s="336"/>
      <c r="F491" s="336"/>
      <c r="G491" s="336"/>
      <c r="H491" s="334"/>
      <c r="I491" s="334"/>
    </row>
    <row r="492" ht="21.75" customHeight="1">
      <c r="A492" s="442" t="s">
        <v>522</v>
      </c>
      <c r="B492" s="56"/>
      <c r="C492" s="443"/>
      <c r="D492" s="444"/>
      <c r="E492" s="445"/>
      <c r="F492" s="446" t="s">
        <v>571</v>
      </c>
      <c r="G492" s="447">
        <f>SUM(G493:G589)</f>
        <v>0</v>
      </c>
      <c r="H492" s="443"/>
      <c r="I492" s="443"/>
    </row>
    <row r="493" ht="15.0" customHeight="1">
      <c r="A493" s="318"/>
      <c r="B493" s="320"/>
      <c r="C493" s="319"/>
      <c r="D493" s="439"/>
      <c r="E493" s="321"/>
      <c r="F493" s="321"/>
      <c r="G493" s="321"/>
      <c r="H493" s="322"/>
      <c r="I493" s="323"/>
    </row>
    <row r="494" ht="15.0" customHeight="1">
      <c r="A494" s="325"/>
      <c r="B494" s="327"/>
      <c r="C494" s="326"/>
      <c r="D494" s="440"/>
      <c r="E494" s="328"/>
      <c r="F494" s="328"/>
      <c r="G494" s="328"/>
      <c r="H494" s="329"/>
      <c r="I494" s="330"/>
    </row>
    <row r="495" ht="15.0" customHeight="1">
      <c r="A495" s="318"/>
      <c r="B495" s="320"/>
      <c r="C495" s="319"/>
      <c r="D495" s="439"/>
      <c r="E495" s="321"/>
      <c r="F495" s="321"/>
      <c r="G495" s="321"/>
      <c r="H495" s="322"/>
      <c r="I495" s="323"/>
    </row>
    <row r="496" ht="15.0" customHeight="1">
      <c r="A496" s="325"/>
      <c r="B496" s="327"/>
      <c r="C496" s="326"/>
      <c r="D496" s="440"/>
      <c r="E496" s="328"/>
      <c r="F496" s="328"/>
      <c r="G496" s="328"/>
      <c r="H496" s="329"/>
      <c r="I496" s="330"/>
    </row>
    <row r="497" ht="15.0" customHeight="1">
      <c r="A497" s="318"/>
      <c r="B497" s="320"/>
      <c r="C497" s="319"/>
      <c r="D497" s="439"/>
      <c r="E497" s="321"/>
      <c r="F497" s="321"/>
      <c r="G497" s="321"/>
      <c r="H497" s="322"/>
      <c r="I497" s="323"/>
    </row>
    <row r="498" ht="15.0" customHeight="1">
      <c r="A498" s="325"/>
      <c r="B498" s="327"/>
      <c r="C498" s="326"/>
      <c r="D498" s="440"/>
      <c r="E498" s="328"/>
      <c r="F498" s="328"/>
      <c r="G498" s="328"/>
      <c r="H498" s="329"/>
      <c r="I498" s="330"/>
    </row>
    <row r="499" ht="15.0" customHeight="1">
      <c r="A499" s="318"/>
      <c r="B499" s="320"/>
      <c r="C499" s="319"/>
      <c r="D499" s="439"/>
      <c r="E499" s="321"/>
      <c r="F499" s="321"/>
      <c r="G499" s="321"/>
      <c r="H499" s="322"/>
      <c r="I499" s="323"/>
    </row>
    <row r="500" ht="15.0" customHeight="1">
      <c r="A500" s="325"/>
      <c r="B500" s="327"/>
      <c r="C500" s="326"/>
      <c r="D500" s="440"/>
      <c r="E500" s="328"/>
      <c r="F500" s="328"/>
      <c r="G500" s="328"/>
      <c r="H500" s="329"/>
      <c r="I500" s="330"/>
    </row>
    <row r="501" ht="15.0" customHeight="1">
      <c r="A501" s="318"/>
      <c r="B501" s="320"/>
      <c r="C501" s="319"/>
      <c r="D501" s="439"/>
      <c r="E501" s="321"/>
      <c r="F501" s="321"/>
      <c r="G501" s="321"/>
      <c r="H501" s="322"/>
      <c r="I501" s="323"/>
    </row>
    <row r="502" ht="15.0" customHeight="1">
      <c r="A502" s="325"/>
      <c r="B502" s="327"/>
      <c r="C502" s="326"/>
      <c r="D502" s="440"/>
      <c r="E502" s="328"/>
      <c r="F502" s="328"/>
      <c r="G502" s="328"/>
      <c r="H502" s="329"/>
      <c r="I502" s="330"/>
    </row>
    <row r="503" ht="15.0" customHeight="1">
      <c r="A503" s="318"/>
      <c r="B503" s="320"/>
      <c r="C503" s="319"/>
      <c r="D503" s="439"/>
      <c r="E503" s="321"/>
      <c r="F503" s="321"/>
      <c r="G503" s="321"/>
      <c r="H503" s="322"/>
      <c r="I503" s="323"/>
    </row>
    <row r="504" ht="15.0" customHeight="1">
      <c r="A504" s="325"/>
      <c r="B504" s="327"/>
      <c r="C504" s="326"/>
      <c r="D504" s="440"/>
      <c r="E504" s="328"/>
      <c r="F504" s="328"/>
      <c r="G504" s="328"/>
      <c r="H504" s="329"/>
      <c r="I504" s="330"/>
    </row>
    <row r="505" ht="15.0" customHeight="1">
      <c r="A505" s="318"/>
      <c r="B505" s="320"/>
      <c r="C505" s="319"/>
      <c r="D505" s="439"/>
      <c r="E505" s="321"/>
      <c r="F505" s="321"/>
      <c r="G505" s="321"/>
      <c r="H505" s="322"/>
      <c r="I505" s="323"/>
    </row>
    <row r="506" ht="15.0" customHeight="1">
      <c r="A506" s="325"/>
      <c r="B506" s="327"/>
      <c r="C506" s="326"/>
      <c r="D506" s="440"/>
      <c r="E506" s="328"/>
      <c r="F506" s="328"/>
      <c r="G506" s="328"/>
      <c r="H506" s="329"/>
      <c r="I506" s="330"/>
    </row>
    <row r="507" ht="15.0" customHeight="1">
      <c r="A507" s="318"/>
      <c r="B507" s="320"/>
      <c r="C507" s="319"/>
      <c r="D507" s="439"/>
      <c r="E507" s="321"/>
      <c r="F507" s="321"/>
      <c r="G507" s="321"/>
      <c r="H507" s="322"/>
      <c r="I507" s="323"/>
    </row>
    <row r="508" ht="15.0" customHeight="1">
      <c r="A508" s="325"/>
      <c r="B508" s="327"/>
      <c r="C508" s="326"/>
      <c r="D508" s="440"/>
      <c r="E508" s="328"/>
      <c r="F508" s="328"/>
      <c r="G508" s="328"/>
      <c r="H508" s="329"/>
      <c r="I508" s="330"/>
    </row>
    <row r="509" ht="15.0" customHeight="1">
      <c r="A509" s="318"/>
      <c r="B509" s="320"/>
      <c r="C509" s="319"/>
      <c r="D509" s="439"/>
      <c r="E509" s="321"/>
      <c r="F509" s="321"/>
      <c r="G509" s="321"/>
      <c r="H509" s="322"/>
      <c r="I509" s="323"/>
    </row>
    <row r="510" ht="15.0" customHeight="1">
      <c r="A510" s="325"/>
      <c r="B510" s="327"/>
      <c r="C510" s="326"/>
      <c r="D510" s="440"/>
      <c r="E510" s="328"/>
      <c r="F510" s="328"/>
      <c r="G510" s="328"/>
      <c r="H510" s="329"/>
      <c r="I510" s="330"/>
    </row>
    <row r="511" ht="15.0" customHeight="1">
      <c r="A511" s="318"/>
      <c r="B511" s="320"/>
      <c r="C511" s="319"/>
      <c r="D511" s="439"/>
      <c r="E511" s="321"/>
      <c r="F511" s="321"/>
      <c r="G511" s="321"/>
      <c r="H511" s="322"/>
      <c r="I511" s="323"/>
    </row>
    <row r="512" ht="15.0" customHeight="1">
      <c r="A512" s="325"/>
      <c r="B512" s="327"/>
      <c r="C512" s="326"/>
      <c r="D512" s="440"/>
      <c r="E512" s="328"/>
      <c r="F512" s="328"/>
      <c r="G512" s="328"/>
      <c r="H512" s="329"/>
      <c r="I512" s="330"/>
    </row>
    <row r="513" ht="15.0" customHeight="1">
      <c r="A513" s="318"/>
      <c r="B513" s="320"/>
      <c r="C513" s="319"/>
      <c r="D513" s="439"/>
      <c r="E513" s="321"/>
      <c r="F513" s="321"/>
      <c r="G513" s="321"/>
      <c r="H513" s="322"/>
      <c r="I513" s="323"/>
    </row>
    <row r="514" ht="15.0" customHeight="1">
      <c r="A514" s="325"/>
      <c r="B514" s="327"/>
      <c r="C514" s="326"/>
      <c r="D514" s="440"/>
      <c r="E514" s="328"/>
      <c r="F514" s="328"/>
      <c r="G514" s="328"/>
      <c r="H514" s="329"/>
      <c r="I514" s="330"/>
    </row>
    <row r="515" ht="15.0" customHeight="1">
      <c r="A515" s="318"/>
      <c r="B515" s="320"/>
      <c r="C515" s="319"/>
      <c r="D515" s="439"/>
      <c r="E515" s="321"/>
      <c r="F515" s="321"/>
      <c r="G515" s="321"/>
      <c r="H515" s="322"/>
      <c r="I515" s="323"/>
    </row>
    <row r="516" ht="15.0" customHeight="1">
      <c r="A516" s="325"/>
      <c r="B516" s="327"/>
      <c r="C516" s="326"/>
      <c r="D516" s="440"/>
      <c r="E516" s="328"/>
      <c r="F516" s="328"/>
      <c r="G516" s="328"/>
      <c r="H516" s="329"/>
      <c r="I516" s="330"/>
    </row>
    <row r="517" ht="15.0" customHeight="1">
      <c r="A517" s="318"/>
      <c r="B517" s="320"/>
      <c r="C517" s="319"/>
      <c r="D517" s="439"/>
      <c r="E517" s="321"/>
      <c r="F517" s="321"/>
      <c r="G517" s="321"/>
      <c r="H517" s="322"/>
      <c r="I517" s="323"/>
    </row>
    <row r="518" ht="15.0" customHeight="1">
      <c r="A518" s="325"/>
      <c r="B518" s="327"/>
      <c r="C518" s="326"/>
      <c r="D518" s="440"/>
      <c r="E518" s="328"/>
      <c r="F518" s="328"/>
      <c r="G518" s="328"/>
      <c r="H518" s="329"/>
      <c r="I518" s="330"/>
    </row>
    <row r="519" ht="15.0" customHeight="1">
      <c r="A519" s="318"/>
      <c r="B519" s="320"/>
      <c r="C519" s="319"/>
      <c r="D519" s="439"/>
      <c r="E519" s="321"/>
      <c r="F519" s="321"/>
      <c r="G519" s="321"/>
      <c r="H519" s="322"/>
      <c r="I519" s="323"/>
    </row>
    <row r="520" ht="15.0" customHeight="1">
      <c r="A520" s="325"/>
      <c r="B520" s="327"/>
      <c r="C520" s="326"/>
      <c r="D520" s="440"/>
      <c r="E520" s="328"/>
      <c r="F520" s="328"/>
      <c r="G520" s="328"/>
      <c r="H520" s="329"/>
      <c r="I520" s="330"/>
    </row>
    <row r="521" ht="15.0" customHeight="1">
      <c r="A521" s="318"/>
      <c r="B521" s="320"/>
      <c r="C521" s="319"/>
      <c r="D521" s="439"/>
      <c r="E521" s="321"/>
      <c r="F521" s="321"/>
      <c r="G521" s="321"/>
      <c r="H521" s="322"/>
      <c r="I521" s="323"/>
    </row>
    <row r="522" ht="15.0" customHeight="1">
      <c r="A522" s="325"/>
      <c r="B522" s="327"/>
      <c r="C522" s="326"/>
      <c r="D522" s="440"/>
      <c r="E522" s="328"/>
      <c r="F522" s="328"/>
      <c r="G522" s="328"/>
      <c r="H522" s="329"/>
      <c r="I522" s="330"/>
    </row>
    <row r="523" ht="15.0" customHeight="1">
      <c r="A523" s="318"/>
      <c r="B523" s="320"/>
      <c r="C523" s="319"/>
      <c r="D523" s="439"/>
      <c r="E523" s="321"/>
      <c r="F523" s="321"/>
      <c r="G523" s="321"/>
      <c r="H523" s="322"/>
      <c r="I523" s="323"/>
    </row>
    <row r="524" ht="15.0" customHeight="1">
      <c r="A524" s="325"/>
      <c r="B524" s="327"/>
      <c r="C524" s="326"/>
      <c r="D524" s="440"/>
      <c r="E524" s="328"/>
      <c r="F524" s="328"/>
      <c r="G524" s="328"/>
      <c r="H524" s="329"/>
      <c r="I524" s="330"/>
    </row>
    <row r="525" ht="15.0" customHeight="1">
      <c r="A525" s="318"/>
      <c r="B525" s="320"/>
      <c r="C525" s="319"/>
      <c r="D525" s="439"/>
      <c r="E525" s="321"/>
      <c r="F525" s="321"/>
      <c r="G525" s="321"/>
      <c r="H525" s="322"/>
      <c r="I525" s="323"/>
    </row>
    <row r="526" ht="15.0" customHeight="1">
      <c r="A526" s="325"/>
      <c r="B526" s="327"/>
      <c r="C526" s="326"/>
      <c r="D526" s="440"/>
      <c r="E526" s="328"/>
      <c r="F526" s="328"/>
      <c r="G526" s="328"/>
      <c r="H526" s="329"/>
      <c r="I526" s="330"/>
    </row>
    <row r="527" ht="15.0" customHeight="1">
      <c r="A527" s="318"/>
      <c r="B527" s="320"/>
      <c r="C527" s="319"/>
      <c r="D527" s="439"/>
      <c r="E527" s="321"/>
      <c r="F527" s="321"/>
      <c r="G527" s="321"/>
      <c r="H527" s="322"/>
      <c r="I527" s="323"/>
    </row>
    <row r="528" ht="15.0" customHeight="1">
      <c r="A528" s="325"/>
      <c r="B528" s="327"/>
      <c r="C528" s="326"/>
      <c r="D528" s="440"/>
      <c r="E528" s="328"/>
      <c r="F528" s="328"/>
      <c r="G528" s="328"/>
      <c r="H528" s="329"/>
      <c r="I528" s="330"/>
    </row>
    <row r="529" ht="15.0" customHeight="1">
      <c r="A529" s="318"/>
      <c r="B529" s="320"/>
      <c r="C529" s="319"/>
      <c r="D529" s="439"/>
      <c r="E529" s="321"/>
      <c r="F529" s="321"/>
      <c r="G529" s="321"/>
      <c r="H529" s="322"/>
      <c r="I529" s="323"/>
    </row>
    <row r="530" ht="15.0" customHeight="1">
      <c r="A530" s="325"/>
      <c r="B530" s="327"/>
      <c r="C530" s="326"/>
      <c r="D530" s="440"/>
      <c r="E530" s="328"/>
      <c r="F530" s="328"/>
      <c r="G530" s="328"/>
      <c r="H530" s="329"/>
      <c r="I530" s="330"/>
    </row>
    <row r="531" ht="15.0" customHeight="1">
      <c r="A531" s="318"/>
      <c r="B531" s="320"/>
      <c r="C531" s="319"/>
      <c r="D531" s="439"/>
      <c r="E531" s="321"/>
      <c r="F531" s="321"/>
      <c r="G531" s="321"/>
      <c r="H531" s="322"/>
      <c r="I531" s="323"/>
    </row>
    <row r="532" ht="15.0" customHeight="1">
      <c r="A532" s="325"/>
      <c r="B532" s="327"/>
      <c r="C532" s="326"/>
      <c r="D532" s="440"/>
      <c r="E532" s="328"/>
      <c r="F532" s="328"/>
      <c r="G532" s="328"/>
      <c r="H532" s="329"/>
      <c r="I532" s="330"/>
    </row>
    <row r="533" ht="15.0" customHeight="1">
      <c r="A533" s="318"/>
      <c r="B533" s="320"/>
      <c r="C533" s="319"/>
      <c r="D533" s="439"/>
      <c r="E533" s="321"/>
      <c r="F533" s="321"/>
      <c r="G533" s="321"/>
      <c r="H533" s="322"/>
      <c r="I533" s="323"/>
    </row>
    <row r="534" ht="15.0" customHeight="1">
      <c r="A534" s="325"/>
      <c r="B534" s="327"/>
      <c r="C534" s="326"/>
      <c r="D534" s="440"/>
      <c r="E534" s="328"/>
      <c r="F534" s="328"/>
      <c r="G534" s="328"/>
      <c r="H534" s="329"/>
      <c r="I534" s="330"/>
    </row>
    <row r="535" ht="15.0" customHeight="1">
      <c r="A535" s="318"/>
      <c r="B535" s="320"/>
      <c r="C535" s="319"/>
      <c r="D535" s="439"/>
      <c r="E535" s="321"/>
      <c r="F535" s="321"/>
      <c r="G535" s="321"/>
      <c r="H535" s="322"/>
      <c r="I535" s="323"/>
    </row>
    <row r="536" ht="15.0" customHeight="1">
      <c r="A536" s="325"/>
      <c r="B536" s="327"/>
      <c r="C536" s="326"/>
      <c r="D536" s="440"/>
      <c r="E536" s="328"/>
      <c r="F536" s="328"/>
      <c r="G536" s="328"/>
      <c r="H536" s="329"/>
      <c r="I536" s="330"/>
    </row>
    <row r="537" ht="15.0" customHeight="1">
      <c r="A537" s="318"/>
      <c r="B537" s="320"/>
      <c r="C537" s="319"/>
      <c r="D537" s="439"/>
      <c r="E537" s="321"/>
      <c r="F537" s="321"/>
      <c r="G537" s="321"/>
      <c r="H537" s="322"/>
      <c r="I537" s="323"/>
    </row>
    <row r="538" ht="15.0" customHeight="1">
      <c r="A538" s="325"/>
      <c r="B538" s="327"/>
      <c r="C538" s="326"/>
      <c r="D538" s="440"/>
      <c r="E538" s="328"/>
      <c r="F538" s="328"/>
      <c r="G538" s="328"/>
      <c r="H538" s="329"/>
      <c r="I538" s="330"/>
    </row>
    <row r="539" ht="15.0" customHeight="1">
      <c r="A539" s="318"/>
      <c r="B539" s="320"/>
      <c r="C539" s="319"/>
      <c r="D539" s="439"/>
      <c r="E539" s="321"/>
      <c r="F539" s="321"/>
      <c r="G539" s="321"/>
      <c r="H539" s="322"/>
      <c r="I539" s="323"/>
    </row>
    <row r="540" ht="15.0" customHeight="1">
      <c r="A540" s="325"/>
      <c r="B540" s="327"/>
      <c r="C540" s="326"/>
      <c r="D540" s="440"/>
      <c r="E540" s="328"/>
      <c r="F540" s="328"/>
      <c r="G540" s="328"/>
      <c r="H540" s="329"/>
      <c r="I540" s="330"/>
    </row>
    <row r="541" ht="15.0" customHeight="1">
      <c r="A541" s="318"/>
      <c r="B541" s="320"/>
      <c r="C541" s="319"/>
      <c r="D541" s="439"/>
      <c r="E541" s="321"/>
      <c r="F541" s="321"/>
      <c r="G541" s="321"/>
      <c r="H541" s="322"/>
      <c r="I541" s="323"/>
    </row>
    <row r="542" ht="15.0" customHeight="1">
      <c r="A542" s="325"/>
      <c r="B542" s="327"/>
      <c r="C542" s="326"/>
      <c r="D542" s="440"/>
      <c r="E542" s="328"/>
      <c r="F542" s="328"/>
      <c r="G542" s="328"/>
      <c r="H542" s="329"/>
      <c r="I542" s="330"/>
    </row>
    <row r="543" ht="15.0" customHeight="1">
      <c r="A543" s="318"/>
      <c r="B543" s="320"/>
      <c r="C543" s="319"/>
      <c r="D543" s="439"/>
      <c r="E543" s="321"/>
      <c r="F543" s="321"/>
      <c r="G543" s="321"/>
      <c r="H543" s="322"/>
      <c r="I543" s="323"/>
    </row>
    <row r="544" ht="15.0" customHeight="1">
      <c r="A544" s="325"/>
      <c r="B544" s="327"/>
      <c r="C544" s="326"/>
      <c r="D544" s="440"/>
      <c r="E544" s="328"/>
      <c r="F544" s="328"/>
      <c r="G544" s="328"/>
      <c r="H544" s="329"/>
      <c r="I544" s="330"/>
    </row>
    <row r="545" ht="15.0" customHeight="1">
      <c r="A545" s="318"/>
      <c r="B545" s="320"/>
      <c r="C545" s="319"/>
      <c r="D545" s="439"/>
      <c r="E545" s="321"/>
      <c r="F545" s="321"/>
      <c r="G545" s="321"/>
      <c r="H545" s="322"/>
      <c r="I545" s="323"/>
    </row>
    <row r="546" ht="15.0" customHeight="1">
      <c r="A546" s="325"/>
      <c r="B546" s="327"/>
      <c r="C546" s="326"/>
      <c r="D546" s="440"/>
      <c r="E546" s="328"/>
      <c r="F546" s="328"/>
      <c r="G546" s="328"/>
      <c r="H546" s="329"/>
      <c r="I546" s="330"/>
    </row>
    <row r="547" ht="15.0" customHeight="1">
      <c r="A547" s="318"/>
      <c r="B547" s="320"/>
      <c r="C547" s="319"/>
      <c r="D547" s="439"/>
      <c r="E547" s="321"/>
      <c r="F547" s="321"/>
      <c r="G547" s="321"/>
      <c r="H547" s="322"/>
      <c r="I547" s="323"/>
    </row>
    <row r="548" ht="15.0" customHeight="1">
      <c r="A548" s="325"/>
      <c r="B548" s="327"/>
      <c r="C548" s="326"/>
      <c r="D548" s="440"/>
      <c r="E548" s="328"/>
      <c r="F548" s="328"/>
      <c r="G548" s="328"/>
      <c r="H548" s="329"/>
      <c r="I548" s="330"/>
    </row>
    <row r="549" ht="15.0" customHeight="1">
      <c r="A549" s="318"/>
      <c r="B549" s="320"/>
      <c r="C549" s="319"/>
      <c r="D549" s="439"/>
      <c r="E549" s="321"/>
      <c r="F549" s="321"/>
      <c r="G549" s="321"/>
      <c r="H549" s="322"/>
      <c r="I549" s="323"/>
    </row>
    <row r="550" ht="15.0" customHeight="1">
      <c r="A550" s="325"/>
      <c r="B550" s="327"/>
      <c r="C550" s="326"/>
      <c r="D550" s="440"/>
      <c r="E550" s="328"/>
      <c r="F550" s="328"/>
      <c r="G550" s="328"/>
      <c r="H550" s="329"/>
      <c r="I550" s="330"/>
    </row>
    <row r="551" ht="15.0" customHeight="1">
      <c r="A551" s="318"/>
      <c r="B551" s="320"/>
      <c r="C551" s="319"/>
      <c r="D551" s="439"/>
      <c r="E551" s="321"/>
      <c r="F551" s="321"/>
      <c r="G551" s="321"/>
      <c r="H551" s="322"/>
      <c r="I551" s="323"/>
    </row>
    <row r="552" ht="15.0" customHeight="1">
      <c r="A552" s="325"/>
      <c r="B552" s="327"/>
      <c r="C552" s="326"/>
      <c r="D552" s="440"/>
      <c r="E552" s="328"/>
      <c r="F552" s="328"/>
      <c r="G552" s="328"/>
      <c r="H552" s="329"/>
      <c r="I552" s="330"/>
    </row>
    <row r="553" ht="15.0" customHeight="1">
      <c r="A553" s="318"/>
      <c r="B553" s="320"/>
      <c r="C553" s="319"/>
      <c r="D553" s="439"/>
      <c r="E553" s="321"/>
      <c r="F553" s="321"/>
      <c r="G553" s="321"/>
      <c r="H553" s="322"/>
      <c r="I553" s="323"/>
    </row>
    <row r="554" ht="15.0" customHeight="1">
      <c r="A554" s="325"/>
      <c r="B554" s="327"/>
      <c r="C554" s="326"/>
      <c r="D554" s="440"/>
      <c r="E554" s="328"/>
      <c r="F554" s="328"/>
      <c r="G554" s="328"/>
      <c r="H554" s="329"/>
      <c r="I554" s="330"/>
    </row>
    <row r="555" ht="15.0" customHeight="1">
      <c r="A555" s="318"/>
      <c r="B555" s="320"/>
      <c r="C555" s="319"/>
      <c r="D555" s="439"/>
      <c r="E555" s="321"/>
      <c r="F555" s="321"/>
      <c r="G555" s="321"/>
      <c r="H555" s="322"/>
      <c r="I555" s="323"/>
    </row>
    <row r="556" ht="15.0" customHeight="1">
      <c r="A556" s="325"/>
      <c r="B556" s="327"/>
      <c r="C556" s="326"/>
      <c r="D556" s="440"/>
      <c r="E556" s="328"/>
      <c r="F556" s="328"/>
      <c r="G556" s="328"/>
      <c r="H556" s="329"/>
      <c r="I556" s="330"/>
    </row>
    <row r="557" ht="15.0" customHeight="1">
      <c r="A557" s="318"/>
      <c r="B557" s="320"/>
      <c r="C557" s="319"/>
      <c r="D557" s="439"/>
      <c r="E557" s="321"/>
      <c r="F557" s="321"/>
      <c r="G557" s="321"/>
      <c r="H557" s="322"/>
      <c r="I557" s="323"/>
    </row>
    <row r="558" ht="15.0" customHeight="1">
      <c r="A558" s="325"/>
      <c r="B558" s="327"/>
      <c r="C558" s="326"/>
      <c r="D558" s="440"/>
      <c r="E558" s="328"/>
      <c r="F558" s="328"/>
      <c r="G558" s="328"/>
      <c r="H558" s="329"/>
      <c r="I558" s="330"/>
    </row>
    <row r="559" ht="15.0" customHeight="1">
      <c r="A559" s="318"/>
      <c r="B559" s="320"/>
      <c r="C559" s="319"/>
      <c r="D559" s="439"/>
      <c r="E559" s="321"/>
      <c r="F559" s="321"/>
      <c r="G559" s="321"/>
      <c r="H559" s="322"/>
      <c r="I559" s="323"/>
    </row>
    <row r="560" ht="15.0" customHeight="1">
      <c r="A560" s="325"/>
      <c r="B560" s="327"/>
      <c r="C560" s="326"/>
      <c r="D560" s="440"/>
      <c r="E560" s="328"/>
      <c r="F560" s="328"/>
      <c r="G560" s="328"/>
      <c r="H560" s="329"/>
      <c r="I560" s="330"/>
    </row>
    <row r="561" ht="15.0" customHeight="1">
      <c r="A561" s="318"/>
      <c r="B561" s="320"/>
      <c r="C561" s="319"/>
      <c r="D561" s="439"/>
      <c r="E561" s="321"/>
      <c r="F561" s="321"/>
      <c r="G561" s="321"/>
      <c r="H561" s="322"/>
      <c r="I561" s="323"/>
    </row>
    <row r="562" ht="15.0" customHeight="1">
      <c r="A562" s="325"/>
      <c r="B562" s="327"/>
      <c r="C562" s="326"/>
      <c r="D562" s="440"/>
      <c r="E562" s="328"/>
      <c r="F562" s="328"/>
      <c r="G562" s="328"/>
      <c r="H562" s="329"/>
      <c r="I562" s="330"/>
    </row>
    <row r="563" ht="15.0" customHeight="1">
      <c r="A563" s="318"/>
      <c r="B563" s="320"/>
      <c r="C563" s="319"/>
      <c r="D563" s="439"/>
      <c r="E563" s="321"/>
      <c r="F563" s="321"/>
      <c r="G563" s="321"/>
      <c r="H563" s="322"/>
      <c r="I563" s="323"/>
    </row>
    <row r="564" ht="15.0" customHeight="1">
      <c r="A564" s="325"/>
      <c r="B564" s="327"/>
      <c r="C564" s="326"/>
      <c r="D564" s="440"/>
      <c r="E564" s="328"/>
      <c r="F564" s="328"/>
      <c r="G564" s="328"/>
      <c r="H564" s="329"/>
      <c r="I564" s="330"/>
    </row>
    <row r="565" ht="15.0" customHeight="1">
      <c r="A565" s="318"/>
      <c r="B565" s="320"/>
      <c r="C565" s="319"/>
      <c r="D565" s="439"/>
      <c r="E565" s="321"/>
      <c r="F565" s="321"/>
      <c r="G565" s="321"/>
      <c r="H565" s="322"/>
      <c r="I565" s="323"/>
    </row>
    <row r="566" ht="15.0" customHeight="1">
      <c r="A566" s="325"/>
      <c r="B566" s="327"/>
      <c r="C566" s="476"/>
      <c r="D566" s="440"/>
      <c r="E566" s="328"/>
      <c r="F566" s="328"/>
      <c r="G566" s="328"/>
      <c r="H566" s="329"/>
      <c r="I566" s="330"/>
    </row>
    <row r="567" ht="15.0" customHeight="1">
      <c r="A567" s="318"/>
      <c r="B567" s="320"/>
      <c r="C567" s="477"/>
      <c r="D567" s="439"/>
      <c r="E567" s="321"/>
      <c r="F567" s="321"/>
      <c r="G567" s="321"/>
      <c r="H567" s="322"/>
      <c r="I567" s="323"/>
    </row>
    <row r="568" ht="15.0" customHeight="1">
      <c r="A568" s="325"/>
      <c r="B568" s="327"/>
      <c r="C568" s="476"/>
      <c r="D568" s="440"/>
      <c r="E568" s="328"/>
      <c r="F568" s="328"/>
      <c r="G568" s="328"/>
      <c r="H568" s="329"/>
      <c r="I568" s="330"/>
    </row>
    <row r="569" ht="15.0" customHeight="1">
      <c r="A569" s="318"/>
      <c r="B569" s="320"/>
      <c r="C569" s="477"/>
      <c r="D569" s="439"/>
      <c r="E569" s="321"/>
      <c r="F569" s="321"/>
      <c r="G569" s="321"/>
      <c r="H569" s="322"/>
      <c r="I569" s="323"/>
    </row>
    <row r="570" ht="15.0" customHeight="1">
      <c r="A570" s="325"/>
      <c r="B570" s="327"/>
      <c r="C570" s="476"/>
      <c r="D570" s="440"/>
      <c r="E570" s="328"/>
      <c r="F570" s="328"/>
      <c r="G570" s="328"/>
      <c r="H570" s="329"/>
      <c r="I570" s="330"/>
    </row>
    <row r="571" ht="15.0" customHeight="1">
      <c r="A571" s="318"/>
      <c r="B571" s="320"/>
      <c r="C571" s="477"/>
      <c r="D571" s="439"/>
      <c r="E571" s="321"/>
      <c r="F571" s="321"/>
      <c r="G571" s="321"/>
      <c r="H571" s="322"/>
      <c r="I571" s="323"/>
    </row>
    <row r="572" ht="15.0" customHeight="1">
      <c r="A572" s="325"/>
      <c r="B572" s="327"/>
      <c r="C572" s="476"/>
      <c r="D572" s="440"/>
      <c r="E572" s="328"/>
      <c r="F572" s="328"/>
      <c r="G572" s="328"/>
      <c r="H572" s="329"/>
      <c r="I572" s="330"/>
    </row>
    <row r="573" ht="15.0" customHeight="1">
      <c r="A573" s="318"/>
      <c r="B573" s="320"/>
      <c r="C573" s="477"/>
      <c r="D573" s="439"/>
      <c r="E573" s="321"/>
      <c r="F573" s="321"/>
      <c r="G573" s="321"/>
      <c r="H573" s="322"/>
      <c r="I573" s="323"/>
    </row>
    <row r="574" ht="15.0" customHeight="1">
      <c r="A574" s="325"/>
      <c r="B574" s="327"/>
      <c r="C574" s="326"/>
      <c r="D574" s="440"/>
      <c r="E574" s="328"/>
      <c r="F574" s="328"/>
      <c r="G574" s="328"/>
      <c r="H574" s="329"/>
      <c r="I574" s="330"/>
    </row>
    <row r="575" ht="15.0" customHeight="1">
      <c r="A575" s="318"/>
      <c r="B575" s="320"/>
      <c r="C575" s="319"/>
      <c r="D575" s="439"/>
      <c r="E575" s="321"/>
      <c r="F575" s="321"/>
      <c r="G575" s="321"/>
      <c r="H575" s="322"/>
      <c r="I575" s="323"/>
    </row>
    <row r="576" ht="15.0" customHeight="1">
      <c r="A576" s="325"/>
      <c r="B576" s="327"/>
      <c r="C576" s="326"/>
      <c r="D576" s="440"/>
      <c r="E576" s="328"/>
      <c r="F576" s="328"/>
      <c r="G576" s="328"/>
      <c r="H576" s="329"/>
      <c r="I576" s="330"/>
    </row>
    <row r="577" ht="15.0" customHeight="1">
      <c r="A577" s="318"/>
      <c r="B577" s="320"/>
      <c r="C577" s="319"/>
      <c r="D577" s="439"/>
      <c r="E577" s="321"/>
      <c r="F577" s="321"/>
      <c r="G577" s="321"/>
      <c r="H577" s="322"/>
      <c r="I577" s="323"/>
    </row>
    <row r="578" ht="15.0" customHeight="1">
      <c r="A578" s="325"/>
      <c r="B578" s="327"/>
      <c r="C578" s="326"/>
      <c r="D578" s="440"/>
      <c r="E578" s="328"/>
      <c r="F578" s="328"/>
      <c r="G578" s="328"/>
      <c r="H578" s="329"/>
      <c r="I578" s="330"/>
    </row>
    <row r="579" ht="15.0" customHeight="1">
      <c r="A579" s="318"/>
      <c r="B579" s="320"/>
      <c r="C579" s="319"/>
      <c r="D579" s="439"/>
      <c r="E579" s="321"/>
      <c r="F579" s="321"/>
      <c r="G579" s="321"/>
      <c r="H579" s="322"/>
      <c r="I579" s="323"/>
    </row>
    <row r="580" ht="15.0" customHeight="1">
      <c r="A580" s="325"/>
      <c r="B580" s="327"/>
      <c r="C580" s="326"/>
      <c r="D580" s="440"/>
      <c r="E580" s="328"/>
      <c r="F580" s="328"/>
      <c r="G580" s="328"/>
      <c r="H580" s="329"/>
      <c r="I580" s="330"/>
    </row>
    <row r="581" ht="15.0" customHeight="1">
      <c r="A581" s="318"/>
      <c r="B581" s="320"/>
      <c r="C581" s="319"/>
      <c r="D581" s="439"/>
      <c r="E581" s="321"/>
      <c r="F581" s="321"/>
      <c r="G581" s="321"/>
      <c r="H581" s="322"/>
      <c r="I581" s="323"/>
    </row>
    <row r="582" ht="15.0" customHeight="1">
      <c r="A582" s="325"/>
      <c r="B582" s="327"/>
      <c r="C582" s="326"/>
      <c r="D582" s="440"/>
      <c r="E582" s="328"/>
      <c r="F582" s="328"/>
      <c r="G582" s="328"/>
      <c r="H582" s="329"/>
      <c r="I582" s="330"/>
    </row>
    <row r="583" ht="15.0" customHeight="1">
      <c r="A583" s="318"/>
      <c r="B583" s="320"/>
      <c r="C583" s="319"/>
      <c r="D583" s="439"/>
      <c r="E583" s="321"/>
      <c r="F583" s="321"/>
      <c r="G583" s="321"/>
      <c r="H583" s="322"/>
      <c r="I583" s="323"/>
    </row>
    <row r="584" ht="15.0" customHeight="1">
      <c r="A584" s="325"/>
      <c r="B584" s="327"/>
      <c r="C584" s="326"/>
      <c r="D584" s="440"/>
      <c r="E584" s="328"/>
      <c r="F584" s="328"/>
      <c r="G584" s="328"/>
      <c r="H584" s="329"/>
      <c r="I584" s="330"/>
    </row>
    <row r="585" ht="15.0" customHeight="1">
      <c r="A585" s="318"/>
      <c r="B585" s="320"/>
      <c r="C585" s="319"/>
      <c r="D585" s="439"/>
      <c r="E585" s="321"/>
      <c r="F585" s="321"/>
      <c r="G585" s="321"/>
      <c r="H585" s="322"/>
      <c r="I585" s="323"/>
    </row>
    <row r="586" ht="15.0" customHeight="1">
      <c r="A586" s="325"/>
      <c r="B586" s="327"/>
      <c r="C586" s="326"/>
      <c r="D586" s="440"/>
      <c r="E586" s="328"/>
      <c r="F586" s="328"/>
      <c r="G586" s="328"/>
      <c r="H586" s="329"/>
      <c r="I586" s="330"/>
    </row>
    <row r="587" ht="15.0" customHeight="1">
      <c r="A587" s="318"/>
      <c r="B587" s="320"/>
      <c r="C587" s="319"/>
      <c r="D587" s="439"/>
      <c r="E587" s="321"/>
      <c r="F587" s="321"/>
      <c r="G587" s="321"/>
      <c r="H587" s="322"/>
      <c r="I587" s="323"/>
    </row>
    <row r="588" ht="15.0" customHeight="1">
      <c r="A588" s="325"/>
      <c r="B588" s="327"/>
      <c r="C588" s="326"/>
      <c r="D588" s="440"/>
      <c r="E588" s="328"/>
      <c r="F588" s="328"/>
      <c r="G588" s="328"/>
      <c r="H588" s="329"/>
      <c r="I588" s="330"/>
    </row>
    <row r="589" ht="15.0" customHeight="1">
      <c r="A589" s="318"/>
      <c r="B589" s="320"/>
      <c r="C589" s="319"/>
      <c r="D589" s="439"/>
      <c r="E589" s="321"/>
      <c r="F589" s="321"/>
      <c r="G589" s="321"/>
      <c r="H589" s="322"/>
      <c r="I589" s="323"/>
    </row>
    <row r="590" ht="6.0" customHeight="1">
      <c r="A590" s="334"/>
      <c r="B590" s="335"/>
      <c r="C590" s="334"/>
      <c r="D590" s="441"/>
      <c r="E590" s="336"/>
      <c r="F590" s="336"/>
      <c r="G590" s="336"/>
      <c r="H590" s="334"/>
      <c r="I590" s="334"/>
    </row>
    <row r="591" ht="21.75" customHeight="1">
      <c r="A591" s="450" t="s">
        <v>523</v>
      </c>
      <c r="B591" s="56"/>
      <c r="C591" s="451"/>
      <c r="D591" s="452"/>
      <c r="E591" s="453"/>
      <c r="F591" s="478" t="s">
        <v>571</v>
      </c>
      <c r="G591" s="455">
        <f>SUM(G592:G621)</f>
        <v>0</v>
      </c>
      <c r="H591" s="451"/>
      <c r="I591" s="451"/>
    </row>
    <row r="592" ht="15.0" customHeight="1">
      <c r="A592" s="337"/>
      <c r="B592" s="339"/>
      <c r="C592" s="338"/>
      <c r="D592" s="448"/>
      <c r="E592" s="340"/>
      <c r="F592" s="340"/>
      <c r="G592" s="340"/>
      <c r="H592" s="341"/>
      <c r="I592" s="342"/>
    </row>
    <row r="593" ht="15.0" customHeight="1">
      <c r="A593" s="344"/>
      <c r="B593" s="346"/>
      <c r="C593" s="345"/>
      <c r="D593" s="449"/>
      <c r="E593" s="347"/>
      <c r="F593" s="347"/>
      <c r="G593" s="347"/>
      <c r="H593" s="348"/>
      <c r="I593" s="349"/>
    </row>
    <row r="594" ht="15.0" customHeight="1">
      <c r="A594" s="337"/>
      <c r="B594" s="339"/>
      <c r="C594" s="338"/>
      <c r="D594" s="448"/>
      <c r="E594" s="340"/>
      <c r="F594" s="340"/>
      <c r="G594" s="340"/>
      <c r="H594" s="341"/>
      <c r="I594" s="342"/>
    </row>
    <row r="595" ht="15.0" customHeight="1">
      <c r="A595" s="344"/>
      <c r="B595" s="346"/>
      <c r="C595" s="345"/>
      <c r="D595" s="449"/>
      <c r="E595" s="347"/>
      <c r="F595" s="347"/>
      <c r="G595" s="347"/>
      <c r="H595" s="348"/>
      <c r="I595" s="349"/>
    </row>
    <row r="596" ht="15.0" customHeight="1">
      <c r="A596" s="337"/>
      <c r="B596" s="339"/>
      <c r="C596" s="338"/>
      <c r="D596" s="448"/>
      <c r="E596" s="340"/>
      <c r="F596" s="340"/>
      <c r="G596" s="340"/>
      <c r="H596" s="341"/>
      <c r="I596" s="342"/>
    </row>
    <row r="597" ht="15.0" customHeight="1">
      <c r="A597" s="344"/>
      <c r="B597" s="346"/>
      <c r="C597" s="345"/>
      <c r="D597" s="449"/>
      <c r="E597" s="347"/>
      <c r="F597" s="347"/>
      <c r="G597" s="347"/>
      <c r="H597" s="348"/>
      <c r="I597" s="349"/>
    </row>
    <row r="598" ht="15.0" customHeight="1">
      <c r="A598" s="337"/>
      <c r="B598" s="339"/>
      <c r="C598" s="338"/>
      <c r="D598" s="448"/>
      <c r="E598" s="340"/>
      <c r="F598" s="340"/>
      <c r="G598" s="340"/>
      <c r="H598" s="341"/>
      <c r="I598" s="342"/>
    </row>
    <row r="599" ht="15.0" customHeight="1">
      <c r="A599" s="344"/>
      <c r="B599" s="346"/>
      <c r="C599" s="345"/>
      <c r="D599" s="449"/>
      <c r="E599" s="347"/>
      <c r="F599" s="347"/>
      <c r="G599" s="347"/>
      <c r="H599" s="348"/>
      <c r="I599" s="349"/>
    </row>
    <row r="600" ht="15.0" customHeight="1">
      <c r="A600" s="337"/>
      <c r="B600" s="339"/>
      <c r="C600" s="338"/>
      <c r="D600" s="448"/>
      <c r="E600" s="340"/>
      <c r="F600" s="340"/>
      <c r="G600" s="340"/>
      <c r="H600" s="341"/>
      <c r="I600" s="342"/>
    </row>
    <row r="601" ht="15.0" customHeight="1">
      <c r="A601" s="344"/>
      <c r="B601" s="346"/>
      <c r="C601" s="345"/>
      <c r="D601" s="449"/>
      <c r="E601" s="347"/>
      <c r="F601" s="347"/>
      <c r="G601" s="347"/>
      <c r="H601" s="348"/>
      <c r="I601" s="349"/>
    </row>
    <row r="602" ht="15.0" customHeight="1">
      <c r="A602" s="337"/>
      <c r="B602" s="339"/>
      <c r="C602" s="338"/>
      <c r="D602" s="448"/>
      <c r="E602" s="340"/>
      <c r="F602" s="340"/>
      <c r="G602" s="340"/>
      <c r="H602" s="341"/>
      <c r="I602" s="342"/>
    </row>
    <row r="603" ht="15.0" customHeight="1">
      <c r="A603" s="344"/>
      <c r="B603" s="346"/>
      <c r="C603" s="345"/>
      <c r="D603" s="449"/>
      <c r="E603" s="347"/>
      <c r="F603" s="347"/>
      <c r="G603" s="347"/>
      <c r="H603" s="348"/>
      <c r="I603" s="349"/>
    </row>
    <row r="604" ht="15.0" customHeight="1">
      <c r="A604" s="337"/>
      <c r="B604" s="339"/>
      <c r="C604" s="338"/>
      <c r="D604" s="448"/>
      <c r="E604" s="340"/>
      <c r="F604" s="340"/>
      <c r="G604" s="340"/>
      <c r="H604" s="341"/>
      <c r="I604" s="342"/>
    </row>
    <row r="605" ht="15.0" customHeight="1">
      <c r="A605" s="344"/>
      <c r="B605" s="346"/>
      <c r="C605" s="345"/>
      <c r="D605" s="449"/>
      <c r="E605" s="347"/>
      <c r="F605" s="347"/>
      <c r="G605" s="347"/>
      <c r="H605" s="348"/>
      <c r="I605" s="349"/>
    </row>
    <row r="606" ht="15.0" customHeight="1">
      <c r="A606" s="337"/>
      <c r="B606" s="339"/>
      <c r="C606" s="338"/>
      <c r="D606" s="448"/>
      <c r="E606" s="340"/>
      <c r="F606" s="340"/>
      <c r="G606" s="340"/>
      <c r="H606" s="341"/>
      <c r="I606" s="342"/>
    </row>
    <row r="607" ht="15.0" customHeight="1">
      <c r="A607" s="344"/>
      <c r="B607" s="346"/>
      <c r="C607" s="345"/>
      <c r="D607" s="449"/>
      <c r="E607" s="347"/>
      <c r="F607" s="347"/>
      <c r="G607" s="347"/>
      <c r="H607" s="348"/>
      <c r="I607" s="349"/>
    </row>
    <row r="608" ht="15.0" customHeight="1">
      <c r="A608" s="337"/>
      <c r="B608" s="339"/>
      <c r="C608" s="338"/>
      <c r="D608" s="448"/>
      <c r="E608" s="340"/>
      <c r="F608" s="340"/>
      <c r="G608" s="340"/>
      <c r="H608" s="341"/>
      <c r="I608" s="342"/>
    </row>
    <row r="609" ht="15.0" customHeight="1">
      <c r="A609" s="344"/>
      <c r="B609" s="346"/>
      <c r="C609" s="345"/>
      <c r="D609" s="449"/>
      <c r="E609" s="347"/>
      <c r="F609" s="347"/>
      <c r="G609" s="347"/>
      <c r="H609" s="348"/>
      <c r="I609" s="349"/>
    </row>
    <row r="610" ht="15.0" customHeight="1">
      <c r="A610" s="337"/>
      <c r="B610" s="339"/>
      <c r="C610" s="338"/>
      <c r="D610" s="448"/>
      <c r="E610" s="340"/>
      <c r="F610" s="340"/>
      <c r="G610" s="340"/>
      <c r="H610" s="341"/>
      <c r="I610" s="342"/>
    </row>
    <row r="611" ht="15.0" customHeight="1">
      <c r="A611" s="344"/>
      <c r="B611" s="346"/>
      <c r="C611" s="345"/>
      <c r="D611" s="449"/>
      <c r="E611" s="347"/>
      <c r="F611" s="347"/>
      <c r="G611" s="347"/>
      <c r="H611" s="348"/>
      <c r="I611" s="349"/>
    </row>
    <row r="612" ht="15.0" customHeight="1">
      <c r="A612" s="337"/>
      <c r="B612" s="339"/>
      <c r="C612" s="338"/>
      <c r="D612" s="448"/>
      <c r="E612" s="340"/>
      <c r="F612" s="340"/>
      <c r="G612" s="340"/>
      <c r="H612" s="341"/>
      <c r="I612" s="342"/>
    </row>
    <row r="613" ht="15.0" customHeight="1">
      <c r="A613" s="344"/>
      <c r="B613" s="346"/>
      <c r="C613" s="345"/>
      <c r="D613" s="449"/>
      <c r="E613" s="347"/>
      <c r="F613" s="347"/>
      <c r="G613" s="347"/>
      <c r="H613" s="348"/>
      <c r="I613" s="349"/>
    </row>
    <row r="614" ht="15.0" customHeight="1">
      <c r="A614" s="337"/>
      <c r="B614" s="339"/>
      <c r="C614" s="338"/>
      <c r="D614" s="448"/>
      <c r="E614" s="340"/>
      <c r="F614" s="340"/>
      <c r="G614" s="340"/>
      <c r="H614" s="341"/>
      <c r="I614" s="342"/>
    </row>
    <row r="615" ht="15.0" customHeight="1">
      <c r="A615" s="344"/>
      <c r="B615" s="346"/>
      <c r="C615" s="345"/>
      <c r="D615" s="449"/>
      <c r="E615" s="347"/>
      <c r="F615" s="347"/>
      <c r="G615" s="347"/>
      <c r="H615" s="348"/>
      <c r="I615" s="349"/>
    </row>
    <row r="616" ht="15.0" customHeight="1">
      <c r="A616" s="337"/>
      <c r="B616" s="339"/>
      <c r="C616" s="338"/>
      <c r="D616" s="448"/>
      <c r="E616" s="340"/>
      <c r="F616" s="340"/>
      <c r="G616" s="340"/>
      <c r="H616" s="341"/>
      <c r="I616" s="342"/>
    </row>
    <row r="617" ht="15.0" customHeight="1">
      <c r="A617" s="344"/>
      <c r="B617" s="346"/>
      <c r="C617" s="345"/>
      <c r="D617" s="449"/>
      <c r="E617" s="347"/>
      <c r="F617" s="347"/>
      <c r="G617" s="347"/>
      <c r="H617" s="348"/>
      <c r="I617" s="349"/>
    </row>
    <row r="618" ht="15.0" customHeight="1">
      <c r="A618" s="337"/>
      <c r="B618" s="339"/>
      <c r="C618" s="338"/>
      <c r="D618" s="448"/>
      <c r="E618" s="340"/>
      <c r="F618" s="340"/>
      <c r="G618" s="340"/>
      <c r="H618" s="341"/>
      <c r="I618" s="342"/>
    </row>
    <row r="619" ht="15.0" customHeight="1">
      <c r="A619" s="344"/>
      <c r="B619" s="346"/>
      <c r="C619" s="345"/>
      <c r="D619" s="449"/>
      <c r="E619" s="347"/>
      <c r="F619" s="347"/>
      <c r="G619" s="347"/>
      <c r="H619" s="348"/>
      <c r="I619" s="349"/>
    </row>
    <row r="620" ht="15.0" customHeight="1">
      <c r="A620" s="337"/>
      <c r="B620" s="339"/>
      <c r="C620" s="338"/>
      <c r="D620" s="448"/>
      <c r="E620" s="340"/>
      <c r="F620" s="340"/>
      <c r="G620" s="340"/>
      <c r="H620" s="341"/>
      <c r="I620" s="342"/>
    </row>
    <row r="621" ht="15.0" customHeight="1">
      <c r="A621" s="344"/>
      <c r="B621" s="346"/>
      <c r="C621" s="345"/>
      <c r="D621" s="449"/>
      <c r="E621" s="347"/>
      <c r="F621" s="347"/>
      <c r="G621" s="347"/>
      <c r="H621" s="348"/>
      <c r="I621" s="349"/>
    </row>
    <row r="622" ht="6.0" customHeight="1">
      <c r="A622" s="334"/>
      <c r="B622" s="335"/>
      <c r="C622" s="334"/>
      <c r="D622" s="441"/>
      <c r="E622" s="336"/>
      <c r="F622" s="336"/>
      <c r="G622" s="336"/>
      <c r="H622" s="334"/>
      <c r="I622" s="334"/>
    </row>
    <row r="623" ht="21.75" customHeight="1">
      <c r="A623" s="458" t="s">
        <v>524</v>
      </c>
      <c r="B623" s="56"/>
      <c r="C623" s="459"/>
      <c r="D623" s="460"/>
      <c r="E623" s="461"/>
      <c r="F623" s="462" t="s">
        <v>571</v>
      </c>
      <c r="G623" s="463">
        <f>SUM(G624:G653)</f>
        <v>0</v>
      </c>
      <c r="H623" s="459"/>
      <c r="I623" s="459"/>
    </row>
    <row r="624" ht="15.0" customHeight="1">
      <c r="A624" s="353"/>
      <c r="B624" s="355"/>
      <c r="C624" s="354"/>
      <c r="D624" s="456"/>
      <c r="E624" s="356"/>
      <c r="F624" s="356"/>
      <c r="G624" s="356"/>
      <c r="H624" s="357"/>
      <c r="I624" s="358"/>
    </row>
    <row r="625" ht="15.0" customHeight="1">
      <c r="A625" s="360"/>
      <c r="B625" s="362"/>
      <c r="C625" s="361"/>
      <c r="D625" s="457"/>
      <c r="E625" s="363"/>
      <c r="F625" s="363"/>
      <c r="G625" s="363"/>
      <c r="H625" s="364"/>
      <c r="I625" s="365"/>
    </row>
    <row r="626" ht="15.0" customHeight="1">
      <c r="A626" s="353"/>
      <c r="B626" s="355"/>
      <c r="C626" s="354"/>
      <c r="D626" s="456"/>
      <c r="E626" s="356"/>
      <c r="F626" s="356"/>
      <c r="G626" s="356"/>
      <c r="H626" s="357"/>
      <c r="I626" s="358"/>
    </row>
    <row r="627" ht="15.0" customHeight="1">
      <c r="A627" s="360"/>
      <c r="B627" s="362"/>
      <c r="C627" s="361"/>
      <c r="D627" s="457"/>
      <c r="E627" s="363"/>
      <c r="F627" s="363"/>
      <c r="G627" s="363"/>
      <c r="H627" s="364"/>
      <c r="I627" s="365"/>
    </row>
    <row r="628" ht="15.0" customHeight="1">
      <c r="A628" s="353"/>
      <c r="B628" s="355"/>
      <c r="C628" s="354"/>
      <c r="D628" s="456"/>
      <c r="E628" s="356"/>
      <c r="F628" s="356"/>
      <c r="G628" s="356"/>
      <c r="H628" s="357"/>
      <c r="I628" s="358"/>
    </row>
    <row r="629" ht="15.0" customHeight="1">
      <c r="A629" s="360"/>
      <c r="B629" s="362"/>
      <c r="C629" s="361"/>
      <c r="D629" s="457"/>
      <c r="E629" s="363"/>
      <c r="F629" s="363"/>
      <c r="G629" s="363"/>
      <c r="H629" s="364"/>
      <c r="I629" s="365"/>
    </row>
    <row r="630" ht="15.0" customHeight="1">
      <c r="A630" s="353"/>
      <c r="B630" s="355"/>
      <c r="C630" s="354"/>
      <c r="D630" s="456"/>
      <c r="E630" s="356"/>
      <c r="F630" s="356"/>
      <c r="G630" s="356"/>
      <c r="H630" s="357"/>
      <c r="I630" s="358"/>
    </row>
    <row r="631" ht="15.0" customHeight="1">
      <c r="A631" s="360"/>
      <c r="B631" s="362"/>
      <c r="C631" s="361"/>
      <c r="D631" s="457"/>
      <c r="E631" s="363"/>
      <c r="F631" s="363"/>
      <c r="G631" s="363"/>
      <c r="H631" s="364"/>
      <c r="I631" s="365"/>
    </row>
    <row r="632" ht="15.0" customHeight="1">
      <c r="A632" s="353"/>
      <c r="B632" s="355"/>
      <c r="C632" s="354"/>
      <c r="D632" s="456"/>
      <c r="E632" s="356"/>
      <c r="F632" s="356"/>
      <c r="G632" s="356"/>
      <c r="H632" s="357"/>
      <c r="I632" s="358"/>
    </row>
    <row r="633" ht="15.0" customHeight="1">
      <c r="A633" s="360"/>
      <c r="B633" s="362"/>
      <c r="C633" s="361"/>
      <c r="D633" s="457"/>
      <c r="E633" s="363"/>
      <c r="F633" s="363"/>
      <c r="G633" s="363"/>
      <c r="H633" s="364"/>
      <c r="I633" s="365"/>
    </row>
    <row r="634" ht="15.0" customHeight="1">
      <c r="A634" s="353"/>
      <c r="B634" s="355"/>
      <c r="C634" s="354"/>
      <c r="D634" s="456"/>
      <c r="E634" s="356"/>
      <c r="F634" s="356"/>
      <c r="G634" s="356"/>
      <c r="H634" s="357"/>
      <c r="I634" s="358"/>
    </row>
    <row r="635" ht="15.0" customHeight="1">
      <c r="A635" s="360"/>
      <c r="B635" s="362"/>
      <c r="C635" s="361"/>
      <c r="D635" s="457"/>
      <c r="E635" s="363"/>
      <c r="F635" s="363"/>
      <c r="G635" s="363"/>
      <c r="H635" s="364"/>
      <c r="I635" s="365"/>
    </row>
    <row r="636" ht="15.0" customHeight="1">
      <c r="A636" s="353"/>
      <c r="B636" s="355"/>
      <c r="C636" s="354"/>
      <c r="D636" s="456"/>
      <c r="E636" s="356"/>
      <c r="F636" s="356"/>
      <c r="G636" s="356"/>
      <c r="H636" s="357"/>
      <c r="I636" s="358"/>
    </row>
    <row r="637" ht="15.0" customHeight="1">
      <c r="A637" s="360"/>
      <c r="B637" s="362"/>
      <c r="C637" s="361"/>
      <c r="D637" s="457"/>
      <c r="E637" s="363"/>
      <c r="F637" s="363"/>
      <c r="G637" s="363"/>
      <c r="H637" s="364"/>
      <c r="I637" s="365"/>
    </row>
    <row r="638" ht="15.0" customHeight="1">
      <c r="A638" s="353"/>
      <c r="B638" s="355"/>
      <c r="C638" s="354"/>
      <c r="D638" s="456"/>
      <c r="E638" s="356"/>
      <c r="F638" s="356"/>
      <c r="G638" s="356"/>
      <c r="H638" s="357"/>
      <c r="I638" s="358"/>
    </row>
    <row r="639" ht="15.0" customHeight="1">
      <c r="A639" s="360"/>
      <c r="B639" s="362"/>
      <c r="C639" s="361"/>
      <c r="D639" s="457"/>
      <c r="E639" s="363"/>
      <c r="F639" s="363"/>
      <c r="G639" s="363"/>
      <c r="H639" s="364"/>
      <c r="I639" s="365"/>
    </row>
    <row r="640" ht="15.0" customHeight="1">
      <c r="A640" s="353"/>
      <c r="B640" s="355"/>
      <c r="C640" s="354"/>
      <c r="D640" s="456"/>
      <c r="E640" s="356"/>
      <c r="F640" s="356"/>
      <c r="G640" s="356"/>
      <c r="H640" s="357"/>
      <c r="I640" s="358"/>
    </row>
    <row r="641" ht="15.0" customHeight="1">
      <c r="A641" s="360"/>
      <c r="B641" s="362"/>
      <c r="C641" s="361"/>
      <c r="D641" s="457"/>
      <c r="E641" s="363"/>
      <c r="F641" s="363"/>
      <c r="G641" s="363"/>
      <c r="H641" s="364"/>
      <c r="I641" s="365"/>
    </row>
    <row r="642" ht="15.0" customHeight="1">
      <c r="A642" s="353"/>
      <c r="B642" s="355"/>
      <c r="C642" s="354"/>
      <c r="D642" s="456"/>
      <c r="E642" s="356"/>
      <c r="F642" s="356"/>
      <c r="G642" s="356"/>
      <c r="H642" s="357"/>
      <c r="I642" s="358"/>
    </row>
    <row r="643" ht="15.0" customHeight="1">
      <c r="A643" s="360"/>
      <c r="B643" s="362"/>
      <c r="C643" s="361"/>
      <c r="D643" s="457"/>
      <c r="E643" s="363"/>
      <c r="F643" s="363"/>
      <c r="G643" s="363"/>
      <c r="H643" s="364"/>
      <c r="I643" s="365"/>
    </row>
    <row r="644" ht="15.0" customHeight="1">
      <c r="A644" s="353"/>
      <c r="B644" s="355"/>
      <c r="C644" s="354"/>
      <c r="D644" s="456"/>
      <c r="E644" s="356"/>
      <c r="F644" s="356"/>
      <c r="G644" s="356"/>
      <c r="H644" s="357"/>
      <c r="I644" s="358"/>
    </row>
    <row r="645" ht="15.0" customHeight="1">
      <c r="A645" s="360"/>
      <c r="B645" s="362"/>
      <c r="C645" s="361"/>
      <c r="D645" s="457"/>
      <c r="E645" s="363"/>
      <c r="F645" s="363"/>
      <c r="G645" s="363"/>
      <c r="H645" s="364"/>
      <c r="I645" s="365"/>
    </row>
    <row r="646" ht="15.0" customHeight="1">
      <c r="A646" s="353"/>
      <c r="B646" s="355"/>
      <c r="C646" s="354"/>
      <c r="D646" s="456"/>
      <c r="E646" s="356"/>
      <c r="F646" s="356"/>
      <c r="G646" s="356"/>
      <c r="H646" s="357"/>
      <c r="I646" s="358"/>
    </row>
    <row r="647" ht="15.0" customHeight="1">
      <c r="A647" s="360"/>
      <c r="B647" s="362"/>
      <c r="C647" s="361"/>
      <c r="D647" s="457"/>
      <c r="E647" s="363"/>
      <c r="F647" s="363"/>
      <c r="G647" s="363"/>
      <c r="H647" s="364"/>
      <c r="I647" s="365"/>
    </row>
    <row r="648" ht="15.0" customHeight="1">
      <c r="A648" s="353"/>
      <c r="B648" s="355"/>
      <c r="C648" s="354"/>
      <c r="D648" s="456"/>
      <c r="E648" s="356"/>
      <c r="F648" s="356"/>
      <c r="G648" s="356"/>
      <c r="H648" s="357"/>
      <c r="I648" s="358"/>
    </row>
    <row r="649" ht="15.0" customHeight="1">
      <c r="A649" s="360"/>
      <c r="B649" s="362"/>
      <c r="C649" s="361"/>
      <c r="D649" s="457"/>
      <c r="E649" s="363"/>
      <c r="F649" s="363"/>
      <c r="G649" s="363"/>
      <c r="H649" s="364"/>
      <c r="I649" s="365"/>
    </row>
    <row r="650" ht="15.0" customHeight="1">
      <c r="A650" s="353"/>
      <c r="B650" s="355"/>
      <c r="C650" s="354"/>
      <c r="D650" s="456"/>
      <c r="E650" s="356"/>
      <c r="F650" s="356"/>
      <c r="G650" s="356"/>
      <c r="H650" s="357"/>
      <c r="I650" s="358"/>
    </row>
    <row r="651" ht="15.0" customHeight="1">
      <c r="A651" s="360"/>
      <c r="B651" s="362"/>
      <c r="C651" s="361"/>
      <c r="D651" s="457"/>
      <c r="E651" s="363"/>
      <c r="F651" s="363"/>
      <c r="G651" s="363"/>
      <c r="H651" s="364"/>
      <c r="I651" s="365"/>
    </row>
    <row r="652" ht="15.0" customHeight="1">
      <c r="A652" s="353"/>
      <c r="B652" s="355"/>
      <c r="C652" s="354"/>
      <c r="D652" s="456"/>
      <c r="E652" s="356"/>
      <c r="F652" s="356"/>
      <c r="G652" s="356"/>
      <c r="H652" s="357"/>
      <c r="I652" s="358"/>
    </row>
    <row r="653" ht="15.0" customHeight="1">
      <c r="A653" s="360"/>
      <c r="B653" s="362"/>
      <c r="C653" s="361"/>
      <c r="D653" s="457"/>
      <c r="E653" s="363"/>
      <c r="F653" s="363"/>
      <c r="G653" s="363"/>
      <c r="H653" s="364"/>
      <c r="I653" s="365"/>
    </row>
    <row r="654" ht="6.0" customHeight="1">
      <c r="A654" s="334"/>
      <c r="B654" s="335"/>
      <c r="C654" s="334"/>
      <c r="D654" s="441"/>
      <c r="E654" s="336"/>
      <c r="F654" s="336"/>
      <c r="G654" s="336"/>
      <c r="H654" s="334"/>
      <c r="I654" s="334"/>
    </row>
    <row r="655" ht="21.75" customHeight="1">
      <c r="A655" s="466" t="s">
        <v>525</v>
      </c>
      <c r="B655" s="56"/>
      <c r="C655" s="467"/>
      <c r="D655" s="468"/>
      <c r="E655" s="469"/>
      <c r="F655" s="470" t="s">
        <v>571</v>
      </c>
      <c r="G655" s="471">
        <f>SUM(G656:G685)</f>
        <v>0</v>
      </c>
      <c r="H655" s="467"/>
      <c r="I655" s="467"/>
    </row>
    <row r="656" ht="15.0" customHeight="1">
      <c r="A656" s="369"/>
      <c r="B656" s="371"/>
      <c r="C656" s="370"/>
      <c r="D656" s="464"/>
      <c r="E656" s="372"/>
      <c r="F656" s="372"/>
      <c r="G656" s="372"/>
      <c r="H656" s="373"/>
      <c r="I656" s="374"/>
    </row>
    <row r="657" ht="15.0" customHeight="1">
      <c r="A657" s="376"/>
      <c r="B657" s="378"/>
      <c r="C657" s="377"/>
      <c r="D657" s="465"/>
      <c r="E657" s="379"/>
      <c r="F657" s="379"/>
      <c r="G657" s="379"/>
      <c r="H657" s="380"/>
      <c r="I657" s="381"/>
    </row>
    <row r="658" ht="15.0" customHeight="1">
      <c r="A658" s="369"/>
      <c r="B658" s="371"/>
      <c r="C658" s="370"/>
      <c r="D658" s="464"/>
      <c r="E658" s="372"/>
      <c r="F658" s="372"/>
      <c r="G658" s="372"/>
      <c r="H658" s="373"/>
      <c r="I658" s="374"/>
    </row>
    <row r="659" ht="15.0" customHeight="1">
      <c r="A659" s="376"/>
      <c r="B659" s="378"/>
      <c r="C659" s="377"/>
      <c r="D659" s="465"/>
      <c r="E659" s="379"/>
      <c r="F659" s="379"/>
      <c r="G659" s="379"/>
      <c r="H659" s="380"/>
      <c r="I659" s="381"/>
    </row>
    <row r="660" ht="15.0" customHeight="1">
      <c r="A660" s="369"/>
      <c r="B660" s="371"/>
      <c r="C660" s="370"/>
      <c r="D660" s="464"/>
      <c r="E660" s="372"/>
      <c r="F660" s="372"/>
      <c r="G660" s="372"/>
      <c r="H660" s="373"/>
      <c r="I660" s="374"/>
    </row>
    <row r="661" ht="15.0" customHeight="1">
      <c r="A661" s="376"/>
      <c r="B661" s="378"/>
      <c r="C661" s="377"/>
      <c r="D661" s="465"/>
      <c r="E661" s="379"/>
      <c r="F661" s="379"/>
      <c r="G661" s="379"/>
      <c r="H661" s="380"/>
      <c r="I661" s="381"/>
    </row>
    <row r="662" ht="15.0" customHeight="1">
      <c r="A662" s="369"/>
      <c r="B662" s="371"/>
      <c r="C662" s="370"/>
      <c r="D662" s="464"/>
      <c r="E662" s="372"/>
      <c r="F662" s="372"/>
      <c r="G662" s="372"/>
      <c r="H662" s="373"/>
      <c r="I662" s="374"/>
    </row>
    <row r="663" ht="15.0" customHeight="1">
      <c r="A663" s="376"/>
      <c r="B663" s="378"/>
      <c r="C663" s="377"/>
      <c r="D663" s="465"/>
      <c r="E663" s="379"/>
      <c r="F663" s="379"/>
      <c r="G663" s="379"/>
      <c r="H663" s="380"/>
      <c r="I663" s="381"/>
    </row>
    <row r="664" ht="15.0" customHeight="1">
      <c r="A664" s="369"/>
      <c r="B664" s="371"/>
      <c r="C664" s="370"/>
      <c r="D664" s="464"/>
      <c r="E664" s="372"/>
      <c r="F664" s="372"/>
      <c r="G664" s="372"/>
      <c r="H664" s="373"/>
      <c r="I664" s="374"/>
    </row>
    <row r="665" ht="15.0" customHeight="1">
      <c r="A665" s="376"/>
      <c r="B665" s="378"/>
      <c r="C665" s="377"/>
      <c r="D665" s="465"/>
      <c r="E665" s="379"/>
      <c r="F665" s="379"/>
      <c r="G665" s="379"/>
      <c r="H665" s="380"/>
      <c r="I665" s="381"/>
    </row>
    <row r="666" ht="15.0" customHeight="1">
      <c r="A666" s="369"/>
      <c r="B666" s="371"/>
      <c r="C666" s="370"/>
      <c r="D666" s="464"/>
      <c r="E666" s="372"/>
      <c r="F666" s="372"/>
      <c r="G666" s="372"/>
      <c r="H666" s="373"/>
      <c r="I666" s="374"/>
    </row>
    <row r="667" ht="15.0" customHeight="1">
      <c r="A667" s="376"/>
      <c r="B667" s="378"/>
      <c r="C667" s="377"/>
      <c r="D667" s="465"/>
      <c r="E667" s="379"/>
      <c r="F667" s="379"/>
      <c r="G667" s="379"/>
      <c r="H667" s="380"/>
      <c r="I667" s="381"/>
    </row>
    <row r="668" ht="15.0" customHeight="1">
      <c r="A668" s="369"/>
      <c r="B668" s="371"/>
      <c r="C668" s="370"/>
      <c r="D668" s="464"/>
      <c r="E668" s="372"/>
      <c r="F668" s="372"/>
      <c r="G668" s="372"/>
      <c r="H668" s="373"/>
      <c r="I668" s="374"/>
    </row>
    <row r="669" ht="15.0" customHeight="1">
      <c r="A669" s="376"/>
      <c r="B669" s="378"/>
      <c r="C669" s="377"/>
      <c r="D669" s="465"/>
      <c r="E669" s="379"/>
      <c r="F669" s="379"/>
      <c r="G669" s="379"/>
      <c r="H669" s="380"/>
      <c r="I669" s="381"/>
    </row>
    <row r="670" ht="15.0" customHeight="1">
      <c r="A670" s="369"/>
      <c r="B670" s="371"/>
      <c r="C670" s="370"/>
      <c r="D670" s="464"/>
      <c r="E670" s="372"/>
      <c r="F670" s="372"/>
      <c r="G670" s="372"/>
      <c r="H670" s="373"/>
      <c r="I670" s="374"/>
    </row>
    <row r="671" ht="15.0" customHeight="1">
      <c r="A671" s="376"/>
      <c r="B671" s="378"/>
      <c r="C671" s="377"/>
      <c r="D671" s="465"/>
      <c r="E671" s="379"/>
      <c r="F671" s="379"/>
      <c r="G671" s="379"/>
      <c r="H671" s="380"/>
      <c r="I671" s="381"/>
    </row>
    <row r="672" ht="15.0" customHeight="1">
      <c r="A672" s="369"/>
      <c r="B672" s="371"/>
      <c r="C672" s="370"/>
      <c r="D672" s="464"/>
      <c r="E672" s="372"/>
      <c r="F672" s="372"/>
      <c r="G672" s="372"/>
      <c r="H672" s="373"/>
      <c r="I672" s="374"/>
    </row>
    <row r="673" ht="15.0" customHeight="1">
      <c r="A673" s="376"/>
      <c r="B673" s="378"/>
      <c r="C673" s="377"/>
      <c r="D673" s="465"/>
      <c r="E673" s="379"/>
      <c r="F673" s="379"/>
      <c r="G673" s="379"/>
      <c r="H673" s="380"/>
      <c r="I673" s="381"/>
    </row>
    <row r="674" ht="15.0" customHeight="1">
      <c r="A674" s="369"/>
      <c r="B674" s="371"/>
      <c r="C674" s="370"/>
      <c r="D674" s="464"/>
      <c r="E674" s="372"/>
      <c r="F674" s="372"/>
      <c r="G674" s="372"/>
      <c r="H674" s="373"/>
      <c r="I674" s="374"/>
    </row>
    <row r="675" ht="15.0" customHeight="1">
      <c r="A675" s="376"/>
      <c r="B675" s="378"/>
      <c r="C675" s="377"/>
      <c r="D675" s="465"/>
      <c r="E675" s="379"/>
      <c r="F675" s="379"/>
      <c r="G675" s="379"/>
      <c r="H675" s="380"/>
      <c r="I675" s="381"/>
    </row>
    <row r="676" ht="15.0" customHeight="1">
      <c r="A676" s="369"/>
      <c r="B676" s="371"/>
      <c r="C676" s="370"/>
      <c r="D676" s="464"/>
      <c r="E676" s="372"/>
      <c r="F676" s="372"/>
      <c r="G676" s="372"/>
      <c r="H676" s="373"/>
      <c r="I676" s="374"/>
    </row>
    <row r="677" ht="15.0" customHeight="1">
      <c r="A677" s="376"/>
      <c r="B677" s="378"/>
      <c r="C677" s="377"/>
      <c r="D677" s="465"/>
      <c r="E677" s="379"/>
      <c r="F677" s="379"/>
      <c r="G677" s="379"/>
      <c r="H677" s="380"/>
      <c r="I677" s="381"/>
    </row>
    <row r="678" ht="15.0" customHeight="1">
      <c r="A678" s="369"/>
      <c r="B678" s="371"/>
      <c r="C678" s="370"/>
      <c r="D678" s="464"/>
      <c r="E678" s="372"/>
      <c r="F678" s="372"/>
      <c r="G678" s="372"/>
      <c r="H678" s="373"/>
      <c r="I678" s="374"/>
    </row>
    <row r="679" ht="15.0" customHeight="1">
      <c r="A679" s="376"/>
      <c r="B679" s="378"/>
      <c r="C679" s="377"/>
      <c r="D679" s="465"/>
      <c r="E679" s="379"/>
      <c r="F679" s="379"/>
      <c r="G679" s="379"/>
      <c r="H679" s="380"/>
      <c r="I679" s="381"/>
    </row>
    <row r="680" ht="15.0" customHeight="1">
      <c r="A680" s="369"/>
      <c r="B680" s="371"/>
      <c r="C680" s="370"/>
      <c r="D680" s="464"/>
      <c r="E680" s="372"/>
      <c r="F680" s="372"/>
      <c r="G680" s="372"/>
      <c r="H680" s="373"/>
      <c r="I680" s="374"/>
    </row>
    <row r="681" ht="15.0" customHeight="1">
      <c r="A681" s="376"/>
      <c r="B681" s="378"/>
      <c r="C681" s="377"/>
      <c r="D681" s="465"/>
      <c r="E681" s="379"/>
      <c r="F681" s="379"/>
      <c r="G681" s="379"/>
      <c r="H681" s="380"/>
      <c r="I681" s="381"/>
    </row>
    <row r="682" ht="15.0" customHeight="1">
      <c r="A682" s="369"/>
      <c r="B682" s="371"/>
      <c r="C682" s="370"/>
      <c r="D682" s="464"/>
      <c r="E682" s="372"/>
      <c r="F682" s="372"/>
      <c r="G682" s="372"/>
      <c r="H682" s="373"/>
      <c r="I682" s="374"/>
    </row>
    <row r="683" ht="15.0" customHeight="1">
      <c r="A683" s="376"/>
      <c r="B683" s="378"/>
      <c r="C683" s="377"/>
      <c r="D683" s="465"/>
      <c r="E683" s="379"/>
      <c r="F683" s="379"/>
      <c r="G683" s="379"/>
      <c r="H683" s="380"/>
      <c r="I683" s="381"/>
    </row>
    <row r="684" ht="15.0" customHeight="1">
      <c r="A684" s="369"/>
      <c r="B684" s="371"/>
      <c r="C684" s="370"/>
      <c r="D684" s="464"/>
      <c r="E684" s="372"/>
      <c r="F684" s="372"/>
      <c r="G684" s="372"/>
      <c r="H684" s="373"/>
      <c r="I684" s="374"/>
    </row>
    <row r="685" ht="15.0" customHeight="1">
      <c r="A685" s="376"/>
      <c r="B685" s="378"/>
      <c r="C685" s="377"/>
      <c r="D685" s="465"/>
      <c r="E685" s="379"/>
      <c r="F685" s="379"/>
      <c r="G685" s="379"/>
      <c r="H685" s="380"/>
      <c r="I685" s="381"/>
    </row>
    <row r="686" ht="6.0" customHeight="1">
      <c r="A686" s="334"/>
      <c r="B686" s="335"/>
      <c r="C686" s="334"/>
      <c r="D686" s="441"/>
      <c r="E686" s="336"/>
      <c r="F686" s="336"/>
      <c r="G686" s="336"/>
      <c r="H686" s="334"/>
      <c r="I686" s="334"/>
    </row>
    <row r="687" ht="21.75" customHeight="1">
      <c r="A687" s="433" t="s">
        <v>526</v>
      </c>
      <c r="B687" s="56"/>
      <c r="C687" s="434"/>
      <c r="D687" s="435"/>
      <c r="E687" s="436"/>
      <c r="F687" s="473" t="s">
        <v>571</v>
      </c>
      <c r="G687" s="438">
        <f>SUM(G688:G717)</f>
        <v>0</v>
      </c>
      <c r="H687" s="434"/>
      <c r="I687" s="434"/>
    </row>
    <row r="688" ht="15.0" customHeight="1">
      <c r="A688" s="385"/>
      <c r="B688" s="387"/>
      <c r="C688" s="386"/>
      <c r="D688" s="472"/>
      <c r="E688" s="388"/>
      <c r="F688" s="388"/>
      <c r="G688" s="388"/>
      <c r="H688" s="389"/>
      <c r="I688" s="390"/>
    </row>
    <row r="689" ht="15.0" customHeight="1">
      <c r="A689" s="318"/>
      <c r="B689" s="320"/>
      <c r="C689" s="319"/>
      <c r="D689" s="439"/>
      <c r="E689" s="321"/>
      <c r="F689" s="321"/>
      <c r="G689" s="321"/>
      <c r="H689" s="322"/>
      <c r="I689" s="323"/>
    </row>
    <row r="690" ht="15.0" customHeight="1">
      <c r="A690" s="385"/>
      <c r="B690" s="387"/>
      <c r="C690" s="386"/>
      <c r="D690" s="472"/>
      <c r="E690" s="388"/>
      <c r="F690" s="388"/>
      <c r="G690" s="388"/>
      <c r="H690" s="389"/>
      <c r="I690" s="390"/>
    </row>
    <row r="691" ht="15.0" customHeight="1">
      <c r="A691" s="318"/>
      <c r="B691" s="320"/>
      <c r="C691" s="319"/>
      <c r="D691" s="439"/>
      <c r="E691" s="321"/>
      <c r="F691" s="321"/>
      <c r="G691" s="321"/>
      <c r="H691" s="322"/>
      <c r="I691" s="323"/>
    </row>
    <row r="692" ht="15.0" customHeight="1">
      <c r="A692" s="385"/>
      <c r="B692" s="387"/>
      <c r="C692" s="386"/>
      <c r="D692" s="472"/>
      <c r="E692" s="388"/>
      <c r="F692" s="388"/>
      <c r="G692" s="388"/>
      <c r="H692" s="389"/>
      <c r="I692" s="390"/>
    </row>
    <row r="693" ht="15.0" customHeight="1">
      <c r="A693" s="318"/>
      <c r="B693" s="320"/>
      <c r="C693" s="319"/>
      <c r="D693" s="439"/>
      <c r="E693" s="321"/>
      <c r="F693" s="321"/>
      <c r="G693" s="321"/>
      <c r="H693" s="322"/>
      <c r="I693" s="323"/>
    </row>
    <row r="694" ht="15.0" customHeight="1">
      <c r="A694" s="385"/>
      <c r="B694" s="387"/>
      <c r="C694" s="386"/>
      <c r="D694" s="472"/>
      <c r="E694" s="388"/>
      <c r="F694" s="388"/>
      <c r="G694" s="388"/>
      <c r="H694" s="389"/>
      <c r="I694" s="390"/>
    </row>
    <row r="695" ht="15.0" customHeight="1">
      <c r="A695" s="318"/>
      <c r="B695" s="320"/>
      <c r="C695" s="319"/>
      <c r="D695" s="439"/>
      <c r="E695" s="321"/>
      <c r="F695" s="321"/>
      <c r="G695" s="321"/>
      <c r="H695" s="322"/>
      <c r="I695" s="323"/>
    </row>
    <row r="696" ht="15.0" customHeight="1">
      <c r="A696" s="385"/>
      <c r="B696" s="387"/>
      <c r="C696" s="386"/>
      <c r="D696" s="472"/>
      <c r="E696" s="388"/>
      <c r="F696" s="388"/>
      <c r="G696" s="388"/>
      <c r="H696" s="389"/>
      <c r="I696" s="390"/>
    </row>
    <row r="697" ht="15.0" customHeight="1">
      <c r="A697" s="318"/>
      <c r="B697" s="320"/>
      <c r="C697" s="319"/>
      <c r="D697" s="439"/>
      <c r="E697" s="321"/>
      <c r="F697" s="321"/>
      <c r="G697" s="321"/>
      <c r="H697" s="322"/>
      <c r="I697" s="323"/>
    </row>
    <row r="698" ht="15.0" customHeight="1">
      <c r="A698" s="385"/>
      <c r="B698" s="387"/>
      <c r="C698" s="386"/>
      <c r="D698" s="472"/>
      <c r="E698" s="388"/>
      <c r="F698" s="388"/>
      <c r="G698" s="388"/>
      <c r="H698" s="389"/>
      <c r="I698" s="390"/>
    </row>
    <row r="699" ht="15.0" customHeight="1">
      <c r="A699" s="318"/>
      <c r="B699" s="320"/>
      <c r="C699" s="319"/>
      <c r="D699" s="439"/>
      <c r="E699" s="321"/>
      <c r="F699" s="321"/>
      <c r="G699" s="321"/>
      <c r="H699" s="322"/>
      <c r="I699" s="323"/>
    </row>
    <row r="700" ht="15.0" customHeight="1">
      <c r="A700" s="385"/>
      <c r="B700" s="387"/>
      <c r="C700" s="386"/>
      <c r="D700" s="472"/>
      <c r="E700" s="388"/>
      <c r="F700" s="388"/>
      <c r="G700" s="388"/>
      <c r="H700" s="389"/>
      <c r="I700" s="390"/>
    </row>
    <row r="701" ht="15.0" customHeight="1">
      <c r="A701" s="318"/>
      <c r="B701" s="320"/>
      <c r="C701" s="319"/>
      <c r="D701" s="439"/>
      <c r="E701" s="321"/>
      <c r="F701" s="321"/>
      <c r="G701" s="321"/>
      <c r="H701" s="322"/>
      <c r="I701" s="323"/>
    </row>
    <row r="702" ht="15.0" customHeight="1">
      <c r="A702" s="385"/>
      <c r="B702" s="387"/>
      <c r="C702" s="386"/>
      <c r="D702" s="472"/>
      <c r="E702" s="388"/>
      <c r="F702" s="388"/>
      <c r="G702" s="388"/>
      <c r="H702" s="389"/>
      <c r="I702" s="390"/>
    </row>
    <row r="703" ht="15.0" customHeight="1">
      <c r="A703" s="318"/>
      <c r="B703" s="320"/>
      <c r="C703" s="319"/>
      <c r="D703" s="439"/>
      <c r="E703" s="321"/>
      <c r="F703" s="321"/>
      <c r="G703" s="321"/>
      <c r="H703" s="322"/>
      <c r="I703" s="323"/>
    </row>
    <row r="704" ht="15.0" customHeight="1">
      <c r="A704" s="385"/>
      <c r="B704" s="387"/>
      <c r="C704" s="386"/>
      <c r="D704" s="472"/>
      <c r="E704" s="388"/>
      <c r="F704" s="388"/>
      <c r="G704" s="388"/>
      <c r="H704" s="389"/>
      <c r="I704" s="390"/>
    </row>
    <row r="705" ht="15.0" customHeight="1">
      <c r="A705" s="318"/>
      <c r="B705" s="320"/>
      <c r="C705" s="319"/>
      <c r="D705" s="439"/>
      <c r="E705" s="321"/>
      <c r="F705" s="321"/>
      <c r="G705" s="321"/>
      <c r="H705" s="322"/>
      <c r="I705" s="323"/>
    </row>
    <row r="706" ht="15.0" customHeight="1">
      <c r="A706" s="385"/>
      <c r="B706" s="387"/>
      <c r="C706" s="386"/>
      <c r="D706" s="472"/>
      <c r="E706" s="388"/>
      <c r="F706" s="388"/>
      <c r="G706" s="388"/>
      <c r="H706" s="389"/>
      <c r="I706" s="390"/>
    </row>
    <row r="707" ht="15.0" customHeight="1">
      <c r="A707" s="318"/>
      <c r="B707" s="320"/>
      <c r="C707" s="319"/>
      <c r="D707" s="439"/>
      <c r="E707" s="321"/>
      <c r="F707" s="321"/>
      <c r="G707" s="321"/>
      <c r="H707" s="322"/>
      <c r="I707" s="323"/>
    </row>
    <row r="708" ht="15.0" customHeight="1">
      <c r="A708" s="385"/>
      <c r="B708" s="387"/>
      <c r="C708" s="386"/>
      <c r="D708" s="472"/>
      <c r="E708" s="388"/>
      <c r="F708" s="388"/>
      <c r="G708" s="388"/>
      <c r="H708" s="389"/>
      <c r="I708" s="390"/>
    </row>
    <row r="709" ht="15.0" customHeight="1">
      <c r="A709" s="318"/>
      <c r="B709" s="320"/>
      <c r="C709" s="319"/>
      <c r="D709" s="439"/>
      <c r="E709" s="321"/>
      <c r="F709" s="321"/>
      <c r="G709" s="321"/>
      <c r="H709" s="322"/>
      <c r="I709" s="323"/>
    </row>
    <row r="710" ht="15.0" customHeight="1">
      <c r="A710" s="385"/>
      <c r="B710" s="387"/>
      <c r="C710" s="386"/>
      <c r="D710" s="472"/>
      <c r="E710" s="388"/>
      <c r="F710" s="388"/>
      <c r="G710" s="388"/>
      <c r="H710" s="389"/>
      <c r="I710" s="390"/>
    </row>
    <row r="711" ht="15.0" customHeight="1">
      <c r="A711" s="318"/>
      <c r="B711" s="320"/>
      <c r="C711" s="319"/>
      <c r="D711" s="439"/>
      <c r="E711" s="321"/>
      <c r="F711" s="321"/>
      <c r="G711" s="321"/>
      <c r="H711" s="322"/>
      <c r="I711" s="323"/>
    </row>
    <row r="712" ht="15.0" customHeight="1">
      <c r="A712" s="385"/>
      <c r="B712" s="387"/>
      <c r="C712" s="386"/>
      <c r="D712" s="472"/>
      <c r="E712" s="388"/>
      <c r="F712" s="388"/>
      <c r="G712" s="388"/>
      <c r="H712" s="389"/>
      <c r="I712" s="390"/>
    </row>
    <row r="713" ht="15.0" customHeight="1">
      <c r="A713" s="318"/>
      <c r="B713" s="320"/>
      <c r="C713" s="319"/>
      <c r="D713" s="439"/>
      <c r="E713" s="321"/>
      <c r="F713" s="321"/>
      <c r="G713" s="321"/>
      <c r="H713" s="322"/>
      <c r="I713" s="323"/>
    </row>
    <row r="714" ht="15.0" customHeight="1">
      <c r="A714" s="385"/>
      <c r="B714" s="387"/>
      <c r="C714" s="386"/>
      <c r="D714" s="472"/>
      <c r="E714" s="388"/>
      <c r="F714" s="388"/>
      <c r="G714" s="388"/>
      <c r="H714" s="389"/>
      <c r="I714" s="390"/>
    </row>
    <row r="715" ht="15.0" customHeight="1">
      <c r="A715" s="318"/>
      <c r="B715" s="320"/>
      <c r="C715" s="319"/>
      <c r="D715" s="439"/>
      <c r="E715" s="321"/>
      <c r="F715" s="321"/>
      <c r="G715" s="321"/>
      <c r="H715" s="322"/>
      <c r="I715" s="323"/>
    </row>
    <row r="716" ht="15.0" customHeight="1">
      <c r="A716" s="385"/>
      <c r="B716" s="387"/>
      <c r="C716" s="386"/>
      <c r="D716" s="472"/>
      <c r="E716" s="388"/>
      <c r="F716" s="388"/>
      <c r="G716" s="388"/>
      <c r="H716" s="389"/>
      <c r="I716" s="390"/>
    </row>
    <row r="717" ht="15.0" customHeight="1">
      <c r="A717" s="318"/>
      <c r="B717" s="320"/>
      <c r="C717" s="319"/>
      <c r="D717" s="439"/>
      <c r="E717" s="321"/>
      <c r="F717" s="321"/>
      <c r="G717" s="321"/>
      <c r="H717" s="322"/>
      <c r="I717" s="323"/>
    </row>
    <row r="718" ht="6.0" customHeight="1">
      <c r="A718" s="334"/>
      <c r="B718" s="335"/>
      <c r="C718" s="334"/>
      <c r="D718" s="441"/>
      <c r="E718" s="336"/>
      <c r="F718" s="336"/>
      <c r="G718" s="336"/>
      <c r="H718" s="334"/>
      <c r="I718" s="334"/>
    </row>
    <row r="719" ht="21.75" customHeight="1">
      <c r="A719" s="442" t="s">
        <v>527</v>
      </c>
      <c r="B719" s="56"/>
      <c r="C719" s="443"/>
      <c r="D719" s="444"/>
      <c r="E719" s="445"/>
      <c r="F719" s="446" t="s">
        <v>571</v>
      </c>
      <c r="G719" s="447">
        <f>SUM(G720:G749)</f>
        <v>0</v>
      </c>
      <c r="H719" s="443"/>
      <c r="I719" s="443"/>
    </row>
    <row r="720" ht="15.0" customHeight="1">
      <c r="A720" s="394"/>
      <c r="B720" s="396"/>
      <c r="C720" s="395"/>
      <c r="D720" s="474"/>
      <c r="E720" s="397"/>
      <c r="F720" s="397"/>
      <c r="G720" s="397"/>
      <c r="H720" s="398"/>
      <c r="I720" s="399"/>
    </row>
    <row r="721" ht="15.0" customHeight="1">
      <c r="A721" s="401"/>
      <c r="B721" s="403"/>
      <c r="C721" s="402"/>
      <c r="D721" s="475"/>
      <c r="E721" s="404"/>
      <c r="F721" s="404"/>
      <c r="G721" s="404"/>
      <c r="H721" s="405"/>
      <c r="I721" s="406"/>
    </row>
    <row r="722" ht="15.0" customHeight="1">
      <c r="A722" s="394"/>
      <c r="B722" s="396"/>
      <c r="C722" s="395"/>
      <c r="D722" s="474"/>
      <c r="E722" s="397"/>
      <c r="F722" s="397"/>
      <c r="G722" s="397"/>
      <c r="H722" s="398"/>
      <c r="I722" s="399"/>
    </row>
    <row r="723" ht="15.0" customHeight="1">
      <c r="A723" s="401"/>
      <c r="B723" s="403"/>
      <c r="C723" s="402"/>
      <c r="D723" s="475"/>
      <c r="E723" s="404"/>
      <c r="F723" s="404"/>
      <c r="G723" s="404"/>
      <c r="H723" s="405"/>
      <c r="I723" s="406"/>
    </row>
    <row r="724" ht="15.0" customHeight="1">
      <c r="A724" s="394"/>
      <c r="B724" s="396"/>
      <c r="C724" s="395"/>
      <c r="D724" s="474"/>
      <c r="E724" s="397"/>
      <c r="F724" s="397"/>
      <c r="G724" s="397"/>
      <c r="H724" s="398"/>
      <c r="I724" s="399"/>
    </row>
    <row r="725" ht="15.0" customHeight="1">
      <c r="A725" s="401"/>
      <c r="B725" s="403"/>
      <c r="C725" s="402"/>
      <c r="D725" s="475"/>
      <c r="E725" s="404"/>
      <c r="F725" s="404"/>
      <c r="G725" s="404"/>
      <c r="H725" s="405"/>
      <c r="I725" s="406"/>
    </row>
    <row r="726" ht="15.0" customHeight="1">
      <c r="A726" s="394"/>
      <c r="B726" s="396"/>
      <c r="C726" s="395"/>
      <c r="D726" s="474"/>
      <c r="E726" s="397"/>
      <c r="F726" s="397"/>
      <c r="G726" s="397"/>
      <c r="H726" s="398"/>
      <c r="I726" s="399"/>
    </row>
    <row r="727" ht="15.0" customHeight="1">
      <c r="A727" s="401"/>
      <c r="B727" s="403"/>
      <c r="C727" s="402"/>
      <c r="D727" s="475"/>
      <c r="E727" s="404"/>
      <c r="F727" s="404"/>
      <c r="G727" s="404"/>
      <c r="H727" s="405"/>
      <c r="I727" s="406"/>
    </row>
    <row r="728" ht="15.0" customHeight="1">
      <c r="A728" s="394"/>
      <c r="B728" s="396"/>
      <c r="C728" s="395"/>
      <c r="D728" s="474"/>
      <c r="E728" s="397"/>
      <c r="F728" s="397"/>
      <c r="G728" s="397"/>
      <c r="H728" s="398"/>
      <c r="I728" s="399"/>
    </row>
    <row r="729" ht="15.0" customHeight="1">
      <c r="A729" s="401"/>
      <c r="B729" s="403"/>
      <c r="C729" s="402"/>
      <c r="D729" s="475"/>
      <c r="E729" s="404"/>
      <c r="F729" s="404"/>
      <c r="G729" s="404"/>
      <c r="H729" s="405"/>
      <c r="I729" s="406"/>
    </row>
    <row r="730" ht="15.0" customHeight="1">
      <c r="A730" s="394"/>
      <c r="B730" s="396"/>
      <c r="C730" s="395"/>
      <c r="D730" s="474"/>
      <c r="E730" s="397"/>
      <c r="F730" s="397"/>
      <c r="G730" s="397"/>
      <c r="H730" s="398"/>
      <c r="I730" s="399"/>
    </row>
    <row r="731" ht="15.0" customHeight="1">
      <c r="A731" s="401"/>
      <c r="B731" s="403"/>
      <c r="C731" s="402"/>
      <c r="D731" s="475"/>
      <c r="E731" s="404"/>
      <c r="F731" s="404"/>
      <c r="G731" s="404"/>
      <c r="H731" s="405"/>
      <c r="I731" s="406"/>
    </row>
    <row r="732" ht="15.0" customHeight="1">
      <c r="A732" s="394"/>
      <c r="B732" s="396"/>
      <c r="C732" s="395"/>
      <c r="D732" s="474"/>
      <c r="E732" s="397"/>
      <c r="F732" s="397"/>
      <c r="G732" s="397"/>
      <c r="H732" s="398"/>
      <c r="I732" s="399"/>
    </row>
    <row r="733" ht="15.0" customHeight="1">
      <c r="A733" s="401"/>
      <c r="B733" s="403"/>
      <c r="C733" s="402"/>
      <c r="D733" s="475"/>
      <c r="E733" s="404"/>
      <c r="F733" s="404"/>
      <c r="G733" s="404"/>
      <c r="H733" s="405"/>
      <c r="I733" s="406"/>
    </row>
    <row r="734" ht="15.0" customHeight="1">
      <c r="A734" s="394"/>
      <c r="B734" s="396"/>
      <c r="C734" s="395"/>
      <c r="D734" s="474"/>
      <c r="E734" s="397"/>
      <c r="F734" s="397"/>
      <c r="G734" s="397"/>
      <c r="H734" s="398"/>
      <c r="I734" s="399"/>
    </row>
    <row r="735" ht="15.0" customHeight="1">
      <c r="A735" s="401"/>
      <c r="B735" s="403"/>
      <c r="C735" s="402"/>
      <c r="D735" s="475"/>
      <c r="E735" s="404"/>
      <c r="F735" s="404"/>
      <c r="G735" s="404"/>
      <c r="H735" s="405"/>
      <c r="I735" s="406"/>
    </row>
    <row r="736" ht="15.0" customHeight="1">
      <c r="A736" s="394"/>
      <c r="B736" s="396"/>
      <c r="C736" s="395"/>
      <c r="D736" s="474"/>
      <c r="E736" s="397"/>
      <c r="F736" s="397"/>
      <c r="G736" s="397"/>
      <c r="H736" s="398"/>
      <c r="I736" s="399"/>
    </row>
    <row r="737" ht="15.0" customHeight="1">
      <c r="A737" s="401"/>
      <c r="B737" s="403"/>
      <c r="C737" s="402"/>
      <c r="D737" s="475"/>
      <c r="E737" s="404"/>
      <c r="F737" s="404"/>
      <c r="G737" s="404"/>
      <c r="H737" s="405"/>
      <c r="I737" s="406"/>
    </row>
    <row r="738" ht="15.0" customHeight="1">
      <c r="A738" s="394"/>
      <c r="B738" s="396"/>
      <c r="C738" s="395"/>
      <c r="D738" s="474"/>
      <c r="E738" s="397"/>
      <c r="F738" s="397"/>
      <c r="G738" s="397"/>
      <c r="H738" s="398"/>
      <c r="I738" s="399"/>
    </row>
    <row r="739" ht="15.0" customHeight="1">
      <c r="A739" s="401"/>
      <c r="B739" s="403"/>
      <c r="C739" s="402"/>
      <c r="D739" s="475"/>
      <c r="E739" s="404"/>
      <c r="F739" s="404"/>
      <c r="G739" s="404"/>
      <c r="H739" s="405"/>
      <c r="I739" s="406"/>
    </row>
    <row r="740" ht="15.0" customHeight="1">
      <c r="A740" s="394"/>
      <c r="B740" s="396"/>
      <c r="C740" s="395"/>
      <c r="D740" s="474"/>
      <c r="E740" s="397"/>
      <c r="F740" s="397"/>
      <c r="G740" s="397"/>
      <c r="H740" s="398"/>
      <c r="I740" s="399"/>
    </row>
    <row r="741" ht="15.0" customHeight="1">
      <c r="A741" s="401"/>
      <c r="B741" s="403"/>
      <c r="C741" s="402"/>
      <c r="D741" s="475"/>
      <c r="E741" s="404"/>
      <c r="F741" s="404"/>
      <c r="G741" s="404"/>
      <c r="H741" s="405"/>
      <c r="I741" s="406"/>
    </row>
    <row r="742" ht="15.0" customHeight="1">
      <c r="A742" s="394"/>
      <c r="B742" s="396"/>
      <c r="C742" s="395"/>
      <c r="D742" s="474"/>
      <c r="E742" s="397"/>
      <c r="F742" s="397"/>
      <c r="G742" s="397"/>
      <c r="H742" s="398"/>
      <c r="I742" s="399"/>
    </row>
    <row r="743" ht="15.0" customHeight="1">
      <c r="A743" s="401"/>
      <c r="B743" s="403"/>
      <c r="C743" s="402"/>
      <c r="D743" s="475"/>
      <c r="E743" s="404"/>
      <c r="F743" s="404"/>
      <c r="G743" s="404"/>
      <c r="H743" s="405"/>
      <c r="I743" s="406"/>
    </row>
    <row r="744" ht="15.0" customHeight="1">
      <c r="A744" s="394"/>
      <c r="B744" s="396"/>
      <c r="C744" s="395"/>
      <c r="D744" s="474"/>
      <c r="E744" s="397"/>
      <c r="F744" s="397"/>
      <c r="G744" s="397"/>
      <c r="H744" s="398"/>
      <c r="I744" s="399"/>
    </row>
    <row r="745" ht="15.0" customHeight="1">
      <c r="A745" s="401"/>
      <c r="B745" s="403"/>
      <c r="C745" s="402"/>
      <c r="D745" s="475"/>
      <c r="E745" s="404"/>
      <c r="F745" s="404"/>
      <c r="G745" s="404"/>
      <c r="H745" s="405"/>
      <c r="I745" s="406"/>
    </row>
    <row r="746" ht="15.0" customHeight="1">
      <c r="A746" s="394"/>
      <c r="B746" s="396"/>
      <c r="C746" s="395"/>
      <c r="D746" s="474"/>
      <c r="E746" s="397"/>
      <c r="F746" s="397"/>
      <c r="G746" s="397"/>
      <c r="H746" s="398"/>
      <c r="I746" s="399"/>
    </row>
    <row r="747" ht="15.0" customHeight="1">
      <c r="A747" s="401"/>
      <c r="B747" s="403"/>
      <c r="C747" s="402"/>
      <c r="D747" s="475"/>
      <c r="E747" s="404"/>
      <c r="F747" s="404"/>
      <c r="G747" s="404"/>
      <c r="H747" s="405"/>
      <c r="I747" s="406"/>
    </row>
    <row r="748" ht="15.0" customHeight="1">
      <c r="A748" s="394"/>
      <c r="B748" s="396"/>
      <c r="C748" s="395"/>
      <c r="D748" s="474"/>
      <c r="E748" s="397"/>
      <c r="F748" s="397"/>
      <c r="G748" s="397"/>
      <c r="H748" s="398"/>
      <c r="I748" s="399"/>
    </row>
    <row r="749" ht="15.0" customHeight="1">
      <c r="A749" s="401"/>
      <c r="B749" s="403"/>
      <c r="C749" s="402"/>
      <c r="D749" s="475"/>
      <c r="E749" s="404"/>
      <c r="F749" s="404"/>
      <c r="G749" s="404"/>
      <c r="H749" s="405"/>
      <c r="I749" s="406"/>
    </row>
    <row r="750" ht="6.0" customHeight="1">
      <c r="A750" s="334"/>
      <c r="B750" s="335"/>
      <c r="C750" s="334"/>
      <c r="D750" s="441"/>
      <c r="E750" s="336"/>
      <c r="F750" s="336"/>
      <c r="G750" s="336"/>
      <c r="H750" s="334"/>
      <c r="I750" s="334"/>
    </row>
    <row r="751" ht="21.75" customHeight="1">
      <c r="A751" s="450" t="s">
        <v>528</v>
      </c>
      <c r="B751" s="56"/>
      <c r="C751" s="451"/>
      <c r="D751" s="452"/>
      <c r="E751" s="453"/>
      <c r="F751" s="478" t="s">
        <v>571</v>
      </c>
      <c r="G751" s="455">
        <f>SUM(G752:G781)</f>
        <v>0</v>
      </c>
      <c r="H751" s="451"/>
      <c r="I751" s="451"/>
    </row>
    <row r="752" ht="15.0" customHeight="1">
      <c r="A752" s="318"/>
      <c r="B752" s="320"/>
      <c r="C752" s="319"/>
      <c r="D752" s="439"/>
      <c r="E752" s="321"/>
      <c r="F752" s="321"/>
      <c r="G752" s="321"/>
      <c r="H752" s="322"/>
      <c r="I752" s="323"/>
    </row>
    <row r="753" ht="15.0" customHeight="1">
      <c r="A753" s="325"/>
      <c r="B753" s="327"/>
      <c r="C753" s="326"/>
      <c r="D753" s="440"/>
      <c r="E753" s="328"/>
      <c r="F753" s="328"/>
      <c r="G753" s="328"/>
      <c r="H753" s="329"/>
      <c r="I753" s="330"/>
    </row>
    <row r="754" ht="15.0" customHeight="1">
      <c r="A754" s="318"/>
      <c r="B754" s="320"/>
      <c r="C754" s="319"/>
      <c r="D754" s="439"/>
      <c r="E754" s="321"/>
      <c r="F754" s="321"/>
      <c r="G754" s="321"/>
      <c r="H754" s="322"/>
      <c r="I754" s="323"/>
    </row>
    <row r="755" ht="15.0" customHeight="1">
      <c r="A755" s="325"/>
      <c r="B755" s="327"/>
      <c r="C755" s="326"/>
      <c r="D755" s="440"/>
      <c r="E755" s="328"/>
      <c r="F755" s="328"/>
      <c r="G755" s="328"/>
      <c r="H755" s="329"/>
      <c r="I755" s="330"/>
    </row>
    <row r="756" ht="15.0" customHeight="1">
      <c r="A756" s="318"/>
      <c r="B756" s="320"/>
      <c r="C756" s="319"/>
      <c r="D756" s="439"/>
      <c r="E756" s="321"/>
      <c r="F756" s="321"/>
      <c r="G756" s="321"/>
      <c r="H756" s="322"/>
      <c r="I756" s="323"/>
    </row>
    <row r="757" ht="15.0" customHeight="1">
      <c r="A757" s="325"/>
      <c r="B757" s="327"/>
      <c r="C757" s="326"/>
      <c r="D757" s="440"/>
      <c r="E757" s="328"/>
      <c r="F757" s="328"/>
      <c r="G757" s="328"/>
      <c r="H757" s="329"/>
      <c r="I757" s="330"/>
    </row>
    <row r="758" ht="15.0" customHeight="1">
      <c r="A758" s="318"/>
      <c r="B758" s="320"/>
      <c r="C758" s="319"/>
      <c r="D758" s="439"/>
      <c r="E758" s="321"/>
      <c r="F758" s="321"/>
      <c r="G758" s="321"/>
      <c r="H758" s="322"/>
      <c r="I758" s="323"/>
    </row>
    <row r="759" ht="15.0" customHeight="1">
      <c r="A759" s="325"/>
      <c r="B759" s="327"/>
      <c r="C759" s="326"/>
      <c r="D759" s="440"/>
      <c r="E759" s="328"/>
      <c r="F759" s="328"/>
      <c r="G759" s="328"/>
      <c r="H759" s="329"/>
      <c r="I759" s="330"/>
    </row>
    <row r="760" ht="15.0" customHeight="1">
      <c r="A760" s="318"/>
      <c r="B760" s="320"/>
      <c r="C760" s="319"/>
      <c r="D760" s="439"/>
      <c r="E760" s="321"/>
      <c r="F760" s="321"/>
      <c r="G760" s="321"/>
      <c r="H760" s="322"/>
      <c r="I760" s="323"/>
    </row>
    <row r="761" ht="15.0" customHeight="1">
      <c r="A761" s="325"/>
      <c r="B761" s="327"/>
      <c r="C761" s="326"/>
      <c r="D761" s="440"/>
      <c r="E761" s="328"/>
      <c r="F761" s="328"/>
      <c r="G761" s="328"/>
      <c r="H761" s="329"/>
      <c r="I761" s="330"/>
    </row>
    <row r="762" ht="15.0" customHeight="1">
      <c r="A762" s="318"/>
      <c r="B762" s="320"/>
      <c r="C762" s="319"/>
      <c r="D762" s="439"/>
      <c r="E762" s="321"/>
      <c r="F762" s="321"/>
      <c r="G762" s="321"/>
      <c r="H762" s="322"/>
      <c r="I762" s="323"/>
    </row>
    <row r="763" ht="15.0" customHeight="1">
      <c r="A763" s="325"/>
      <c r="B763" s="327"/>
      <c r="C763" s="326"/>
      <c r="D763" s="440"/>
      <c r="E763" s="328"/>
      <c r="F763" s="328"/>
      <c r="G763" s="328"/>
      <c r="H763" s="329"/>
      <c r="I763" s="330"/>
    </row>
    <row r="764" ht="15.0" customHeight="1">
      <c r="A764" s="318"/>
      <c r="B764" s="320"/>
      <c r="C764" s="319"/>
      <c r="D764" s="439"/>
      <c r="E764" s="321"/>
      <c r="F764" s="321"/>
      <c r="G764" s="321"/>
      <c r="H764" s="322"/>
      <c r="I764" s="323"/>
    </row>
    <row r="765" ht="15.0" customHeight="1">
      <c r="A765" s="325"/>
      <c r="B765" s="327"/>
      <c r="C765" s="326"/>
      <c r="D765" s="440"/>
      <c r="E765" s="328"/>
      <c r="F765" s="328"/>
      <c r="G765" s="328"/>
      <c r="H765" s="329"/>
      <c r="I765" s="330"/>
    </row>
    <row r="766" ht="15.0" customHeight="1">
      <c r="A766" s="318"/>
      <c r="B766" s="320"/>
      <c r="C766" s="319"/>
      <c r="D766" s="439"/>
      <c r="E766" s="321"/>
      <c r="F766" s="321"/>
      <c r="G766" s="321"/>
      <c r="H766" s="322"/>
      <c r="I766" s="323"/>
    </row>
    <row r="767" ht="15.0" customHeight="1">
      <c r="A767" s="325"/>
      <c r="B767" s="327"/>
      <c r="C767" s="326"/>
      <c r="D767" s="440"/>
      <c r="E767" s="328"/>
      <c r="F767" s="328"/>
      <c r="G767" s="328"/>
      <c r="H767" s="329"/>
      <c r="I767" s="330"/>
    </row>
    <row r="768" ht="15.0" customHeight="1">
      <c r="A768" s="318"/>
      <c r="B768" s="320"/>
      <c r="C768" s="319"/>
      <c r="D768" s="439"/>
      <c r="E768" s="321"/>
      <c r="F768" s="321"/>
      <c r="G768" s="321"/>
      <c r="H768" s="322"/>
      <c r="I768" s="323"/>
    </row>
    <row r="769" ht="15.0" customHeight="1">
      <c r="A769" s="325"/>
      <c r="B769" s="327"/>
      <c r="C769" s="326"/>
      <c r="D769" s="440"/>
      <c r="E769" s="328"/>
      <c r="F769" s="328"/>
      <c r="G769" s="328"/>
      <c r="H769" s="329"/>
      <c r="I769" s="330"/>
    </row>
    <row r="770" ht="15.0" customHeight="1">
      <c r="A770" s="318"/>
      <c r="B770" s="320"/>
      <c r="C770" s="319"/>
      <c r="D770" s="439"/>
      <c r="E770" s="321"/>
      <c r="F770" s="321"/>
      <c r="G770" s="321"/>
      <c r="H770" s="322"/>
      <c r="I770" s="323"/>
    </row>
    <row r="771" ht="15.0" customHeight="1">
      <c r="A771" s="325"/>
      <c r="B771" s="327"/>
      <c r="C771" s="326"/>
      <c r="D771" s="440"/>
      <c r="E771" s="328"/>
      <c r="F771" s="328"/>
      <c r="G771" s="328"/>
      <c r="H771" s="329"/>
      <c r="I771" s="330"/>
    </row>
    <row r="772" ht="15.0" customHeight="1">
      <c r="A772" s="318"/>
      <c r="B772" s="320"/>
      <c r="C772" s="319"/>
      <c r="D772" s="439"/>
      <c r="E772" s="321"/>
      <c r="F772" s="321"/>
      <c r="G772" s="321"/>
      <c r="H772" s="322"/>
      <c r="I772" s="323"/>
    </row>
    <row r="773" ht="15.0" customHeight="1">
      <c r="A773" s="325"/>
      <c r="B773" s="327"/>
      <c r="C773" s="326"/>
      <c r="D773" s="440"/>
      <c r="E773" s="328"/>
      <c r="F773" s="328"/>
      <c r="G773" s="328"/>
      <c r="H773" s="329"/>
      <c r="I773" s="330"/>
    </row>
    <row r="774" ht="15.0" customHeight="1">
      <c r="A774" s="318"/>
      <c r="B774" s="320"/>
      <c r="C774" s="319"/>
      <c r="D774" s="439"/>
      <c r="E774" s="321"/>
      <c r="F774" s="321"/>
      <c r="G774" s="321"/>
      <c r="H774" s="322"/>
      <c r="I774" s="323"/>
    </row>
    <row r="775" ht="15.0" customHeight="1">
      <c r="A775" s="325"/>
      <c r="B775" s="327"/>
      <c r="C775" s="326"/>
      <c r="D775" s="440"/>
      <c r="E775" s="328"/>
      <c r="F775" s="328"/>
      <c r="G775" s="328"/>
      <c r="H775" s="329"/>
      <c r="I775" s="330"/>
    </row>
    <row r="776" ht="15.0" customHeight="1">
      <c r="A776" s="318"/>
      <c r="B776" s="320"/>
      <c r="C776" s="319"/>
      <c r="D776" s="439"/>
      <c r="E776" s="321"/>
      <c r="F776" s="321"/>
      <c r="G776" s="321"/>
      <c r="H776" s="322"/>
      <c r="I776" s="323"/>
    </row>
    <row r="777" ht="15.0" customHeight="1">
      <c r="A777" s="325"/>
      <c r="B777" s="327"/>
      <c r="C777" s="326"/>
      <c r="D777" s="440"/>
      <c r="E777" s="328"/>
      <c r="F777" s="328"/>
      <c r="G777" s="328"/>
      <c r="H777" s="329"/>
      <c r="I777" s="330"/>
    </row>
    <row r="778" ht="15.0" customHeight="1">
      <c r="A778" s="318"/>
      <c r="B778" s="320"/>
      <c r="C778" s="319"/>
      <c r="D778" s="439"/>
      <c r="E778" s="321"/>
      <c r="F778" s="321"/>
      <c r="G778" s="321"/>
      <c r="H778" s="322"/>
      <c r="I778" s="323"/>
    </row>
    <row r="779" ht="15.0" customHeight="1">
      <c r="A779" s="325"/>
      <c r="B779" s="327"/>
      <c r="C779" s="326"/>
      <c r="D779" s="440"/>
      <c r="E779" s="328"/>
      <c r="F779" s="328"/>
      <c r="G779" s="328"/>
      <c r="H779" s="329"/>
      <c r="I779" s="330"/>
    </row>
    <row r="780" ht="15.0" customHeight="1">
      <c r="A780" s="318"/>
      <c r="B780" s="320"/>
      <c r="C780" s="319"/>
      <c r="D780" s="439"/>
      <c r="E780" s="321"/>
      <c r="F780" s="321"/>
      <c r="G780" s="321"/>
      <c r="H780" s="322"/>
      <c r="I780" s="323"/>
    </row>
    <row r="781" ht="15.0" customHeight="1">
      <c r="A781" s="325"/>
      <c r="B781" s="327"/>
      <c r="C781" s="326"/>
      <c r="D781" s="440"/>
      <c r="E781" s="328"/>
      <c r="F781" s="328"/>
      <c r="G781" s="328"/>
      <c r="H781" s="329"/>
      <c r="I781" s="330"/>
    </row>
    <row r="782" ht="6.0" customHeight="1">
      <c r="A782" s="334"/>
      <c r="B782" s="335"/>
      <c r="C782" s="334"/>
      <c r="D782" s="441"/>
      <c r="E782" s="336"/>
      <c r="F782" s="336"/>
      <c r="G782" s="336"/>
      <c r="H782" s="334"/>
      <c r="I782" s="334"/>
    </row>
    <row r="783" ht="21.75" customHeight="1">
      <c r="A783" s="458" t="s">
        <v>529</v>
      </c>
      <c r="B783" s="56"/>
      <c r="C783" s="459"/>
      <c r="D783" s="460"/>
      <c r="E783" s="461"/>
      <c r="F783" s="462" t="s">
        <v>571</v>
      </c>
      <c r="G783" s="463">
        <f>SUM(G784:G813)</f>
        <v>0</v>
      </c>
      <c r="H783" s="459"/>
      <c r="I783" s="459"/>
    </row>
    <row r="784" ht="15.0" customHeight="1">
      <c r="A784" s="337"/>
      <c r="B784" s="339"/>
      <c r="C784" s="338"/>
      <c r="D784" s="448"/>
      <c r="E784" s="340"/>
      <c r="F784" s="340"/>
      <c r="G784" s="340"/>
      <c r="H784" s="341"/>
      <c r="I784" s="342"/>
    </row>
    <row r="785" ht="15.0" customHeight="1">
      <c r="A785" s="344"/>
      <c r="B785" s="346"/>
      <c r="C785" s="345"/>
      <c r="D785" s="449"/>
      <c r="E785" s="347"/>
      <c r="F785" s="347"/>
      <c r="G785" s="347"/>
      <c r="H785" s="348"/>
      <c r="I785" s="349"/>
    </row>
    <row r="786" ht="15.0" customHeight="1">
      <c r="A786" s="337"/>
      <c r="B786" s="339"/>
      <c r="C786" s="338"/>
      <c r="D786" s="448"/>
      <c r="E786" s="340"/>
      <c r="F786" s="340"/>
      <c r="G786" s="340"/>
      <c r="H786" s="341"/>
      <c r="I786" s="342"/>
    </row>
    <row r="787" ht="15.0" customHeight="1">
      <c r="A787" s="344"/>
      <c r="B787" s="346"/>
      <c r="C787" s="345"/>
      <c r="D787" s="449"/>
      <c r="E787" s="347"/>
      <c r="F787" s="347"/>
      <c r="G787" s="347"/>
      <c r="H787" s="348"/>
      <c r="I787" s="349"/>
    </row>
    <row r="788" ht="15.0" customHeight="1">
      <c r="A788" s="337"/>
      <c r="B788" s="339"/>
      <c r="C788" s="338"/>
      <c r="D788" s="448"/>
      <c r="E788" s="340"/>
      <c r="F788" s="340"/>
      <c r="G788" s="340"/>
      <c r="H788" s="341"/>
      <c r="I788" s="342"/>
    </row>
    <row r="789" ht="15.0" customHeight="1">
      <c r="A789" s="344"/>
      <c r="B789" s="346"/>
      <c r="C789" s="345"/>
      <c r="D789" s="449"/>
      <c r="E789" s="347"/>
      <c r="F789" s="347"/>
      <c r="G789" s="347"/>
      <c r="H789" s="348"/>
      <c r="I789" s="349"/>
    </row>
    <row r="790" ht="15.0" customHeight="1">
      <c r="A790" s="337"/>
      <c r="B790" s="339"/>
      <c r="C790" s="338"/>
      <c r="D790" s="448"/>
      <c r="E790" s="340"/>
      <c r="F790" s="340"/>
      <c r="G790" s="340"/>
      <c r="H790" s="341"/>
      <c r="I790" s="342"/>
    </row>
    <row r="791" ht="15.0" customHeight="1">
      <c r="A791" s="344"/>
      <c r="B791" s="346"/>
      <c r="C791" s="345"/>
      <c r="D791" s="449"/>
      <c r="E791" s="347"/>
      <c r="F791" s="347"/>
      <c r="G791" s="347"/>
      <c r="H791" s="348"/>
      <c r="I791" s="349"/>
    </row>
    <row r="792" ht="15.0" customHeight="1">
      <c r="A792" s="337"/>
      <c r="B792" s="339"/>
      <c r="C792" s="338"/>
      <c r="D792" s="448"/>
      <c r="E792" s="340"/>
      <c r="F792" s="340"/>
      <c r="G792" s="340"/>
      <c r="H792" s="341"/>
      <c r="I792" s="342"/>
    </row>
    <row r="793" ht="15.0" customHeight="1">
      <c r="A793" s="344"/>
      <c r="B793" s="346"/>
      <c r="C793" s="345"/>
      <c r="D793" s="449"/>
      <c r="E793" s="347"/>
      <c r="F793" s="347"/>
      <c r="G793" s="347"/>
      <c r="H793" s="348"/>
      <c r="I793" s="349"/>
    </row>
    <row r="794" ht="15.0" customHeight="1">
      <c r="A794" s="337"/>
      <c r="B794" s="339"/>
      <c r="C794" s="338"/>
      <c r="D794" s="448"/>
      <c r="E794" s="340"/>
      <c r="F794" s="340"/>
      <c r="G794" s="340"/>
      <c r="H794" s="341"/>
      <c r="I794" s="342"/>
    </row>
    <row r="795" ht="15.0" customHeight="1">
      <c r="A795" s="344"/>
      <c r="B795" s="346"/>
      <c r="C795" s="345"/>
      <c r="D795" s="449"/>
      <c r="E795" s="347"/>
      <c r="F795" s="347"/>
      <c r="G795" s="347"/>
      <c r="H795" s="348"/>
      <c r="I795" s="349"/>
    </row>
    <row r="796" ht="15.0" customHeight="1">
      <c r="A796" s="337"/>
      <c r="B796" s="339"/>
      <c r="C796" s="338"/>
      <c r="D796" s="448"/>
      <c r="E796" s="340"/>
      <c r="F796" s="340"/>
      <c r="G796" s="340"/>
      <c r="H796" s="341"/>
      <c r="I796" s="342"/>
    </row>
    <row r="797" ht="15.0" customHeight="1">
      <c r="A797" s="344"/>
      <c r="B797" s="346"/>
      <c r="C797" s="345"/>
      <c r="D797" s="449"/>
      <c r="E797" s="347"/>
      <c r="F797" s="347"/>
      <c r="G797" s="347"/>
      <c r="H797" s="348"/>
      <c r="I797" s="349"/>
    </row>
    <row r="798" ht="15.0" customHeight="1">
      <c r="A798" s="337"/>
      <c r="B798" s="339"/>
      <c r="C798" s="338"/>
      <c r="D798" s="448"/>
      <c r="E798" s="340"/>
      <c r="F798" s="340"/>
      <c r="G798" s="340"/>
      <c r="H798" s="341"/>
      <c r="I798" s="342"/>
    </row>
    <row r="799" ht="15.0" customHeight="1">
      <c r="A799" s="344"/>
      <c r="B799" s="346"/>
      <c r="C799" s="345"/>
      <c r="D799" s="449"/>
      <c r="E799" s="347"/>
      <c r="F799" s="347"/>
      <c r="G799" s="347"/>
      <c r="H799" s="348"/>
      <c r="I799" s="349"/>
    </row>
    <row r="800" ht="15.0" customHeight="1">
      <c r="A800" s="337"/>
      <c r="B800" s="339"/>
      <c r="C800" s="338"/>
      <c r="D800" s="448"/>
      <c r="E800" s="340"/>
      <c r="F800" s="340"/>
      <c r="G800" s="340"/>
      <c r="H800" s="341"/>
      <c r="I800" s="342"/>
    </row>
    <row r="801" ht="15.0" customHeight="1">
      <c r="A801" s="344"/>
      <c r="B801" s="346"/>
      <c r="C801" s="345"/>
      <c r="D801" s="449"/>
      <c r="E801" s="347"/>
      <c r="F801" s="347"/>
      <c r="G801" s="347"/>
      <c r="H801" s="348"/>
      <c r="I801" s="349"/>
    </row>
    <row r="802" ht="15.0" customHeight="1">
      <c r="A802" s="337"/>
      <c r="B802" s="339"/>
      <c r="C802" s="338"/>
      <c r="D802" s="448"/>
      <c r="E802" s="340"/>
      <c r="F802" s="340"/>
      <c r="G802" s="340"/>
      <c r="H802" s="341"/>
      <c r="I802" s="342"/>
    </row>
    <row r="803" ht="15.0" customHeight="1">
      <c r="A803" s="344"/>
      <c r="B803" s="346"/>
      <c r="C803" s="345"/>
      <c r="D803" s="449"/>
      <c r="E803" s="347"/>
      <c r="F803" s="347"/>
      <c r="G803" s="347"/>
      <c r="H803" s="348"/>
      <c r="I803" s="349"/>
    </row>
    <row r="804" ht="15.0" customHeight="1">
      <c r="A804" s="337"/>
      <c r="B804" s="339"/>
      <c r="C804" s="338"/>
      <c r="D804" s="448"/>
      <c r="E804" s="340"/>
      <c r="F804" s="340"/>
      <c r="G804" s="340"/>
      <c r="H804" s="341"/>
      <c r="I804" s="342"/>
    </row>
    <row r="805" ht="15.0" customHeight="1">
      <c r="A805" s="344"/>
      <c r="B805" s="346"/>
      <c r="C805" s="345"/>
      <c r="D805" s="449"/>
      <c r="E805" s="347"/>
      <c r="F805" s="347"/>
      <c r="G805" s="347"/>
      <c r="H805" s="348"/>
      <c r="I805" s="349"/>
    </row>
    <row r="806" ht="15.0" customHeight="1">
      <c r="A806" s="337"/>
      <c r="B806" s="339"/>
      <c r="C806" s="338"/>
      <c r="D806" s="448"/>
      <c r="E806" s="340"/>
      <c r="F806" s="340"/>
      <c r="G806" s="340"/>
      <c r="H806" s="341"/>
      <c r="I806" s="342"/>
    </row>
    <row r="807" ht="15.0" customHeight="1">
      <c r="A807" s="344"/>
      <c r="B807" s="346"/>
      <c r="C807" s="345"/>
      <c r="D807" s="449"/>
      <c r="E807" s="347"/>
      <c r="F807" s="347"/>
      <c r="G807" s="347"/>
      <c r="H807" s="348"/>
      <c r="I807" s="349"/>
    </row>
    <row r="808" ht="15.0" customHeight="1">
      <c r="A808" s="337"/>
      <c r="B808" s="339"/>
      <c r="C808" s="338"/>
      <c r="D808" s="448"/>
      <c r="E808" s="340"/>
      <c r="F808" s="340"/>
      <c r="G808" s="340"/>
      <c r="H808" s="341"/>
      <c r="I808" s="342"/>
    </row>
    <row r="809" ht="15.0" customHeight="1">
      <c r="A809" s="344"/>
      <c r="B809" s="346"/>
      <c r="C809" s="345"/>
      <c r="D809" s="449"/>
      <c r="E809" s="347"/>
      <c r="F809" s="347"/>
      <c r="G809" s="347"/>
      <c r="H809" s="348"/>
      <c r="I809" s="349"/>
    </row>
    <row r="810" ht="15.0" customHeight="1">
      <c r="A810" s="337"/>
      <c r="B810" s="339"/>
      <c r="C810" s="338"/>
      <c r="D810" s="448"/>
      <c r="E810" s="340"/>
      <c r="F810" s="340"/>
      <c r="G810" s="340"/>
      <c r="H810" s="341"/>
      <c r="I810" s="342"/>
    </row>
    <row r="811" ht="15.0" customHeight="1">
      <c r="A811" s="344"/>
      <c r="B811" s="346"/>
      <c r="C811" s="345"/>
      <c r="D811" s="449"/>
      <c r="E811" s="347"/>
      <c r="F811" s="347"/>
      <c r="G811" s="347"/>
      <c r="H811" s="348"/>
      <c r="I811" s="349"/>
    </row>
    <row r="812" ht="15.0" customHeight="1">
      <c r="A812" s="337"/>
      <c r="B812" s="339"/>
      <c r="C812" s="338"/>
      <c r="D812" s="448"/>
      <c r="E812" s="340"/>
      <c r="F812" s="340"/>
      <c r="G812" s="340"/>
      <c r="H812" s="341"/>
      <c r="I812" s="342"/>
    </row>
    <row r="813" ht="15.0" customHeight="1">
      <c r="A813" s="344"/>
      <c r="B813" s="346"/>
      <c r="C813" s="345"/>
      <c r="D813" s="449"/>
      <c r="E813" s="347"/>
      <c r="F813" s="347"/>
      <c r="G813" s="347"/>
      <c r="H813" s="348"/>
      <c r="I813" s="349"/>
    </row>
    <row r="814" ht="6.0" customHeight="1">
      <c r="A814" s="334"/>
      <c r="B814" s="335"/>
      <c r="C814" s="334"/>
      <c r="D814" s="441"/>
      <c r="E814" s="336"/>
      <c r="F814" s="336"/>
      <c r="G814" s="336"/>
      <c r="H814" s="334"/>
      <c r="I814" s="334"/>
    </row>
    <row r="815" ht="21.75" customHeight="1">
      <c r="A815" s="466" t="s">
        <v>530</v>
      </c>
      <c r="B815" s="56"/>
      <c r="C815" s="467"/>
      <c r="D815" s="468"/>
      <c r="E815" s="469"/>
      <c r="F815" s="470" t="s">
        <v>571</v>
      </c>
      <c r="G815" s="471">
        <f>SUM(G816:G845)</f>
        <v>0</v>
      </c>
      <c r="H815" s="467"/>
      <c r="I815" s="467"/>
    </row>
    <row r="816" ht="15.0" customHeight="1">
      <c r="A816" s="353"/>
      <c r="B816" s="355"/>
      <c r="C816" s="354"/>
      <c r="D816" s="456"/>
      <c r="E816" s="356"/>
      <c r="F816" s="356"/>
      <c r="G816" s="356"/>
      <c r="H816" s="357"/>
      <c r="I816" s="358"/>
    </row>
    <row r="817" ht="15.0" customHeight="1">
      <c r="A817" s="360"/>
      <c r="B817" s="362"/>
      <c r="C817" s="361"/>
      <c r="D817" s="457"/>
      <c r="E817" s="363"/>
      <c r="F817" s="363"/>
      <c r="G817" s="363"/>
      <c r="H817" s="364"/>
      <c r="I817" s="365"/>
    </row>
    <row r="818" ht="15.0" customHeight="1">
      <c r="A818" s="353"/>
      <c r="B818" s="355"/>
      <c r="C818" s="354"/>
      <c r="D818" s="456"/>
      <c r="E818" s="356"/>
      <c r="F818" s="356"/>
      <c r="G818" s="356"/>
      <c r="H818" s="357"/>
      <c r="I818" s="358"/>
    </row>
    <row r="819" ht="15.0" customHeight="1">
      <c r="A819" s="360"/>
      <c r="B819" s="362"/>
      <c r="C819" s="361"/>
      <c r="D819" s="457"/>
      <c r="E819" s="363"/>
      <c r="F819" s="363"/>
      <c r="G819" s="363"/>
      <c r="H819" s="364"/>
      <c r="I819" s="365"/>
    </row>
    <row r="820" ht="15.0" customHeight="1">
      <c r="A820" s="353"/>
      <c r="B820" s="355"/>
      <c r="C820" s="354"/>
      <c r="D820" s="456"/>
      <c r="E820" s="356"/>
      <c r="F820" s="356"/>
      <c r="G820" s="356"/>
      <c r="H820" s="357"/>
      <c r="I820" s="358"/>
    </row>
    <row r="821" ht="15.0" customHeight="1">
      <c r="A821" s="360"/>
      <c r="B821" s="362"/>
      <c r="C821" s="361"/>
      <c r="D821" s="457"/>
      <c r="E821" s="363"/>
      <c r="F821" s="363"/>
      <c r="G821" s="363"/>
      <c r="H821" s="364"/>
      <c r="I821" s="365"/>
    </row>
    <row r="822" ht="15.0" customHeight="1">
      <c r="A822" s="353"/>
      <c r="B822" s="355"/>
      <c r="C822" s="354"/>
      <c r="D822" s="456"/>
      <c r="E822" s="356"/>
      <c r="F822" s="356"/>
      <c r="G822" s="356"/>
      <c r="H822" s="357"/>
      <c r="I822" s="358"/>
    </row>
    <row r="823" ht="15.0" customHeight="1">
      <c r="A823" s="360"/>
      <c r="B823" s="362"/>
      <c r="C823" s="361"/>
      <c r="D823" s="457"/>
      <c r="E823" s="363"/>
      <c r="F823" s="363"/>
      <c r="G823" s="363"/>
      <c r="H823" s="364"/>
      <c r="I823" s="365"/>
    </row>
    <row r="824" ht="15.0" customHeight="1">
      <c r="A824" s="353"/>
      <c r="B824" s="355"/>
      <c r="C824" s="354"/>
      <c r="D824" s="456"/>
      <c r="E824" s="356"/>
      <c r="F824" s="356"/>
      <c r="G824" s="356"/>
      <c r="H824" s="357"/>
      <c r="I824" s="358"/>
    </row>
    <row r="825" ht="15.0" customHeight="1">
      <c r="A825" s="360"/>
      <c r="B825" s="362"/>
      <c r="C825" s="361"/>
      <c r="D825" s="457"/>
      <c r="E825" s="363"/>
      <c r="F825" s="363"/>
      <c r="G825" s="363"/>
      <c r="H825" s="364"/>
      <c r="I825" s="365"/>
    </row>
    <row r="826" ht="15.0" customHeight="1">
      <c r="A826" s="353"/>
      <c r="B826" s="355"/>
      <c r="C826" s="354"/>
      <c r="D826" s="456"/>
      <c r="E826" s="356"/>
      <c r="F826" s="356"/>
      <c r="G826" s="356"/>
      <c r="H826" s="357"/>
      <c r="I826" s="358"/>
    </row>
    <row r="827" ht="15.0" customHeight="1">
      <c r="A827" s="360"/>
      <c r="B827" s="362"/>
      <c r="C827" s="361"/>
      <c r="D827" s="457"/>
      <c r="E827" s="363"/>
      <c r="F827" s="363"/>
      <c r="G827" s="363"/>
      <c r="H827" s="364"/>
      <c r="I827" s="365"/>
    </row>
    <row r="828" ht="15.0" customHeight="1">
      <c r="A828" s="353"/>
      <c r="B828" s="355"/>
      <c r="C828" s="354"/>
      <c r="D828" s="456"/>
      <c r="E828" s="356"/>
      <c r="F828" s="356"/>
      <c r="G828" s="356"/>
      <c r="H828" s="357"/>
      <c r="I828" s="358"/>
    </row>
    <row r="829" ht="15.0" customHeight="1">
      <c r="A829" s="360"/>
      <c r="B829" s="362"/>
      <c r="C829" s="361"/>
      <c r="D829" s="457"/>
      <c r="E829" s="363"/>
      <c r="F829" s="363"/>
      <c r="G829" s="363"/>
      <c r="H829" s="364"/>
      <c r="I829" s="365"/>
    </row>
    <row r="830" ht="15.0" customHeight="1">
      <c r="A830" s="353"/>
      <c r="B830" s="355"/>
      <c r="C830" s="354"/>
      <c r="D830" s="456"/>
      <c r="E830" s="356"/>
      <c r="F830" s="356"/>
      <c r="G830" s="356"/>
      <c r="H830" s="357"/>
      <c r="I830" s="358"/>
    </row>
    <row r="831" ht="15.0" customHeight="1">
      <c r="A831" s="360"/>
      <c r="B831" s="362"/>
      <c r="C831" s="361"/>
      <c r="D831" s="457"/>
      <c r="E831" s="363"/>
      <c r="F831" s="363"/>
      <c r="G831" s="363"/>
      <c r="H831" s="364"/>
      <c r="I831" s="365"/>
    </row>
    <row r="832" ht="15.0" customHeight="1">
      <c r="A832" s="353"/>
      <c r="B832" s="355"/>
      <c r="C832" s="354"/>
      <c r="D832" s="456"/>
      <c r="E832" s="356"/>
      <c r="F832" s="356"/>
      <c r="G832" s="356"/>
      <c r="H832" s="357"/>
      <c r="I832" s="358"/>
    </row>
    <row r="833" ht="15.0" customHeight="1">
      <c r="A833" s="360"/>
      <c r="B833" s="362"/>
      <c r="C833" s="361"/>
      <c r="D833" s="457"/>
      <c r="E833" s="363"/>
      <c r="F833" s="363"/>
      <c r="G833" s="363"/>
      <c r="H833" s="364"/>
      <c r="I833" s="365"/>
    </row>
    <row r="834" ht="15.0" customHeight="1">
      <c r="A834" s="353"/>
      <c r="B834" s="355"/>
      <c r="C834" s="354"/>
      <c r="D834" s="456"/>
      <c r="E834" s="356"/>
      <c r="F834" s="356"/>
      <c r="G834" s="356"/>
      <c r="H834" s="357"/>
      <c r="I834" s="358"/>
    </row>
    <row r="835" ht="15.0" customHeight="1">
      <c r="A835" s="360"/>
      <c r="B835" s="362"/>
      <c r="C835" s="361"/>
      <c r="D835" s="457"/>
      <c r="E835" s="363"/>
      <c r="F835" s="363"/>
      <c r="G835" s="363"/>
      <c r="H835" s="364"/>
      <c r="I835" s="365"/>
    </row>
    <row r="836" ht="15.0" customHeight="1">
      <c r="A836" s="353"/>
      <c r="B836" s="355"/>
      <c r="C836" s="354"/>
      <c r="D836" s="456"/>
      <c r="E836" s="356"/>
      <c r="F836" s="356"/>
      <c r="G836" s="356"/>
      <c r="H836" s="357"/>
      <c r="I836" s="358"/>
    </row>
    <row r="837" ht="15.0" customHeight="1">
      <c r="A837" s="360"/>
      <c r="B837" s="362"/>
      <c r="C837" s="361"/>
      <c r="D837" s="457"/>
      <c r="E837" s="363"/>
      <c r="F837" s="363"/>
      <c r="G837" s="363"/>
      <c r="H837" s="364"/>
      <c r="I837" s="365"/>
    </row>
    <row r="838" ht="15.0" customHeight="1">
      <c r="A838" s="353"/>
      <c r="B838" s="355"/>
      <c r="C838" s="354"/>
      <c r="D838" s="456"/>
      <c r="E838" s="356"/>
      <c r="F838" s="356"/>
      <c r="G838" s="356"/>
      <c r="H838" s="357"/>
      <c r="I838" s="358"/>
    </row>
    <row r="839" ht="15.0" customHeight="1">
      <c r="A839" s="360"/>
      <c r="B839" s="362"/>
      <c r="C839" s="361"/>
      <c r="D839" s="457"/>
      <c r="E839" s="363"/>
      <c r="F839" s="363"/>
      <c r="G839" s="363"/>
      <c r="H839" s="364"/>
      <c r="I839" s="365"/>
    </row>
    <row r="840" ht="15.0" customHeight="1">
      <c r="A840" s="353"/>
      <c r="B840" s="355"/>
      <c r="C840" s="354"/>
      <c r="D840" s="456"/>
      <c r="E840" s="356"/>
      <c r="F840" s="356"/>
      <c r="G840" s="356"/>
      <c r="H840" s="357"/>
      <c r="I840" s="358"/>
    </row>
    <row r="841" ht="15.0" customHeight="1">
      <c r="A841" s="360"/>
      <c r="B841" s="362"/>
      <c r="C841" s="361"/>
      <c r="D841" s="457"/>
      <c r="E841" s="363"/>
      <c r="F841" s="363"/>
      <c r="G841" s="363"/>
      <c r="H841" s="364"/>
      <c r="I841" s="365"/>
    </row>
    <row r="842" ht="15.0" customHeight="1">
      <c r="A842" s="353"/>
      <c r="B842" s="355"/>
      <c r="C842" s="354"/>
      <c r="D842" s="456"/>
      <c r="E842" s="356"/>
      <c r="F842" s="356"/>
      <c r="G842" s="356"/>
      <c r="H842" s="357"/>
      <c r="I842" s="358"/>
    </row>
    <row r="843" ht="15.0" customHeight="1">
      <c r="A843" s="360"/>
      <c r="B843" s="362"/>
      <c r="C843" s="361"/>
      <c r="D843" s="457"/>
      <c r="E843" s="363"/>
      <c r="F843" s="363"/>
      <c r="G843" s="363"/>
      <c r="H843" s="364"/>
      <c r="I843" s="365"/>
    </row>
    <row r="844" ht="15.0" customHeight="1">
      <c r="A844" s="353"/>
      <c r="B844" s="355"/>
      <c r="C844" s="354"/>
      <c r="D844" s="456"/>
      <c r="E844" s="356"/>
      <c r="F844" s="356"/>
      <c r="G844" s="356"/>
      <c r="H844" s="357"/>
      <c r="I844" s="358"/>
    </row>
    <row r="845" ht="15.0" customHeight="1">
      <c r="A845" s="360"/>
      <c r="B845" s="362"/>
      <c r="C845" s="361"/>
      <c r="D845" s="457"/>
      <c r="E845" s="363"/>
      <c r="F845" s="363"/>
      <c r="G845" s="363"/>
      <c r="H845" s="364"/>
      <c r="I845" s="365"/>
    </row>
    <row r="846" ht="6.0" customHeight="1">
      <c r="A846" s="334"/>
      <c r="B846" s="335"/>
      <c r="C846" s="334"/>
      <c r="D846" s="441"/>
      <c r="E846" s="336"/>
      <c r="F846" s="336"/>
      <c r="G846" s="336"/>
      <c r="H846" s="334"/>
      <c r="I846" s="334"/>
    </row>
    <row r="847" ht="21.75" customHeight="1">
      <c r="A847" s="433" t="s">
        <v>531</v>
      </c>
      <c r="B847" s="56"/>
      <c r="C847" s="434"/>
      <c r="D847" s="435"/>
      <c r="E847" s="436"/>
      <c r="F847" s="473" t="s">
        <v>571</v>
      </c>
      <c r="G847" s="438">
        <f>SUM(G848:G877)</f>
        <v>0</v>
      </c>
      <c r="H847" s="434"/>
      <c r="I847" s="434"/>
    </row>
    <row r="848" ht="15.0" customHeight="1">
      <c r="A848" s="369"/>
      <c r="B848" s="371"/>
      <c r="C848" s="370"/>
      <c r="D848" s="464"/>
      <c r="E848" s="372"/>
      <c r="F848" s="372"/>
      <c r="G848" s="372"/>
      <c r="H848" s="373"/>
      <c r="I848" s="374"/>
    </row>
    <row r="849" ht="15.0" customHeight="1">
      <c r="A849" s="376"/>
      <c r="B849" s="378"/>
      <c r="C849" s="377"/>
      <c r="D849" s="465"/>
      <c r="E849" s="379"/>
      <c r="F849" s="379"/>
      <c r="G849" s="379"/>
      <c r="H849" s="380"/>
      <c r="I849" s="381"/>
    </row>
    <row r="850" ht="15.0" customHeight="1">
      <c r="A850" s="369"/>
      <c r="B850" s="371"/>
      <c r="C850" s="370"/>
      <c r="D850" s="464"/>
      <c r="E850" s="372"/>
      <c r="F850" s="372"/>
      <c r="G850" s="372"/>
      <c r="H850" s="373"/>
      <c r="I850" s="374"/>
    </row>
    <row r="851" ht="15.0" customHeight="1">
      <c r="A851" s="376"/>
      <c r="B851" s="378"/>
      <c r="C851" s="377"/>
      <c r="D851" s="465"/>
      <c r="E851" s="379"/>
      <c r="F851" s="379"/>
      <c r="G851" s="379"/>
      <c r="H851" s="380"/>
      <c r="I851" s="381"/>
    </row>
    <row r="852" ht="15.0" customHeight="1">
      <c r="A852" s="369"/>
      <c r="B852" s="371"/>
      <c r="C852" s="370"/>
      <c r="D852" s="464"/>
      <c r="E852" s="372"/>
      <c r="F852" s="372"/>
      <c r="G852" s="372"/>
      <c r="H852" s="373"/>
      <c r="I852" s="374"/>
    </row>
    <row r="853" ht="15.0" customHeight="1">
      <c r="A853" s="376"/>
      <c r="B853" s="378"/>
      <c r="C853" s="377"/>
      <c r="D853" s="465"/>
      <c r="E853" s="379"/>
      <c r="F853" s="379"/>
      <c r="G853" s="379"/>
      <c r="H853" s="380"/>
      <c r="I853" s="381"/>
    </row>
    <row r="854" ht="15.0" customHeight="1">
      <c r="A854" s="369"/>
      <c r="B854" s="371"/>
      <c r="C854" s="370"/>
      <c r="D854" s="464"/>
      <c r="E854" s="372"/>
      <c r="F854" s="372"/>
      <c r="G854" s="372"/>
      <c r="H854" s="373"/>
      <c r="I854" s="374"/>
    </row>
    <row r="855" ht="15.0" customHeight="1">
      <c r="A855" s="376"/>
      <c r="B855" s="378"/>
      <c r="C855" s="377"/>
      <c r="D855" s="465"/>
      <c r="E855" s="379"/>
      <c r="F855" s="379"/>
      <c r="G855" s="379"/>
      <c r="H855" s="380"/>
      <c r="I855" s="381"/>
    </row>
    <row r="856" ht="15.0" customHeight="1">
      <c r="A856" s="369"/>
      <c r="B856" s="371"/>
      <c r="C856" s="370"/>
      <c r="D856" s="464"/>
      <c r="E856" s="372"/>
      <c r="F856" s="372"/>
      <c r="G856" s="372"/>
      <c r="H856" s="373"/>
      <c r="I856" s="374"/>
    </row>
    <row r="857" ht="15.0" customHeight="1">
      <c r="A857" s="376"/>
      <c r="B857" s="378"/>
      <c r="C857" s="377"/>
      <c r="D857" s="465"/>
      <c r="E857" s="379"/>
      <c r="F857" s="379"/>
      <c r="G857" s="379"/>
      <c r="H857" s="380"/>
      <c r="I857" s="381"/>
    </row>
    <row r="858" ht="15.0" customHeight="1">
      <c r="A858" s="369"/>
      <c r="B858" s="371"/>
      <c r="C858" s="370"/>
      <c r="D858" s="464"/>
      <c r="E858" s="372"/>
      <c r="F858" s="372"/>
      <c r="G858" s="372"/>
      <c r="H858" s="373"/>
      <c r="I858" s="374"/>
    </row>
    <row r="859" ht="15.0" customHeight="1">
      <c r="A859" s="376"/>
      <c r="B859" s="378"/>
      <c r="C859" s="377"/>
      <c r="D859" s="465"/>
      <c r="E859" s="379"/>
      <c r="F859" s="379"/>
      <c r="G859" s="379"/>
      <c r="H859" s="380"/>
      <c r="I859" s="381"/>
    </row>
    <row r="860" ht="15.0" customHeight="1">
      <c r="A860" s="369"/>
      <c r="B860" s="371"/>
      <c r="C860" s="370"/>
      <c r="D860" s="464"/>
      <c r="E860" s="372"/>
      <c r="F860" s="372"/>
      <c r="G860" s="372"/>
      <c r="H860" s="373"/>
      <c r="I860" s="374"/>
    </row>
    <row r="861" ht="15.0" customHeight="1">
      <c r="A861" s="376"/>
      <c r="B861" s="378"/>
      <c r="C861" s="377"/>
      <c r="D861" s="465"/>
      <c r="E861" s="379"/>
      <c r="F861" s="379"/>
      <c r="G861" s="379"/>
      <c r="H861" s="380"/>
      <c r="I861" s="381"/>
    </row>
    <row r="862" ht="15.0" customHeight="1">
      <c r="A862" s="369"/>
      <c r="B862" s="371"/>
      <c r="C862" s="370"/>
      <c r="D862" s="464"/>
      <c r="E862" s="372"/>
      <c r="F862" s="372"/>
      <c r="G862" s="372"/>
      <c r="H862" s="373"/>
      <c r="I862" s="374"/>
    </row>
    <row r="863" ht="15.0" customHeight="1">
      <c r="A863" s="376"/>
      <c r="B863" s="378"/>
      <c r="C863" s="377"/>
      <c r="D863" s="465"/>
      <c r="E863" s="379"/>
      <c r="F863" s="379"/>
      <c r="G863" s="379"/>
      <c r="H863" s="380"/>
      <c r="I863" s="381"/>
    </row>
    <row r="864" ht="15.0" customHeight="1">
      <c r="A864" s="369"/>
      <c r="B864" s="371"/>
      <c r="C864" s="370"/>
      <c r="D864" s="464"/>
      <c r="E864" s="372"/>
      <c r="F864" s="372"/>
      <c r="G864" s="372"/>
      <c r="H864" s="373"/>
      <c r="I864" s="374"/>
    </row>
    <row r="865" ht="15.0" customHeight="1">
      <c r="A865" s="376"/>
      <c r="B865" s="378"/>
      <c r="C865" s="377"/>
      <c r="D865" s="465"/>
      <c r="E865" s="379"/>
      <c r="F865" s="379"/>
      <c r="G865" s="379"/>
      <c r="H865" s="380"/>
      <c r="I865" s="381"/>
    </row>
    <row r="866" ht="15.0" customHeight="1">
      <c r="A866" s="369"/>
      <c r="B866" s="371"/>
      <c r="C866" s="370"/>
      <c r="D866" s="464"/>
      <c r="E866" s="372"/>
      <c r="F866" s="372"/>
      <c r="G866" s="372"/>
      <c r="H866" s="373"/>
      <c r="I866" s="374"/>
    </row>
    <row r="867" ht="15.0" customHeight="1">
      <c r="A867" s="376"/>
      <c r="B867" s="378"/>
      <c r="C867" s="377"/>
      <c r="D867" s="465"/>
      <c r="E867" s="379"/>
      <c r="F867" s="379"/>
      <c r="G867" s="379"/>
      <c r="H867" s="380"/>
      <c r="I867" s="381"/>
    </row>
    <row r="868" ht="15.0" customHeight="1">
      <c r="A868" s="369"/>
      <c r="B868" s="371"/>
      <c r="C868" s="370"/>
      <c r="D868" s="464"/>
      <c r="E868" s="372"/>
      <c r="F868" s="372"/>
      <c r="G868" s="372"/>
      <c r="H868" s="373"/>
      <c r="I868" s="374"/>
    </row>
    <row r="869" ht="15.0" customHeight="1">
      <c r="A869" s="376"/>
      <c r="B869" s="378"/>
      <c r="C869" s="377"/>
      <c r="D869" s="465"/>
      <c r="E869" s="379"/>
      <c r="F869" s="379"/>
      <c r="G869" s="379"/>
      <c r="H869" s="380"/>
      <c r="I869" s="381"/>
    </row>
    <row r="870" ht="15.0" customHeight="1">
      <c r="A870" s="369"/>
      <c r="B870" s="371"/>
      <c r="C870" s="370"/>
      <c r="D870" s="464"/>
      <c r="E870" s="372"/>
      <c r="F870" s="372"/>
      <c r="G870" s="372"/>
      <c r="H870" s="373"/>
      <c r="I870" s="374"/>
    </row>
    <row r="871" ht="15.0" customHeight="1">
      <c r="A871" s="376"/>
      <c r="B871" s="378"/>
      <c r="C871" s="377"/>
      <c r="D871" s="465"/>
      <c r="E871" s="379"/>
      <c r="F871" s="379"/>
      <c r="G871" s="379"/>
      <c r="H871" s="380"/>
      <c r="I871" s="381"/>
    </row>
    <row r="872" ht="15.0" customHeight="1">
      <c r="A872" s="369"/>
      <c r="B872" s="371"/>
      <c r="C872" s="370"/>
      <c r="D872" s="464"/>
      <c r="E872" s="372"/>
      <c r="F872" s="372"/>
      <c r="G872" s="372"/>
      <c r="H872" s="373"/>
      <c r="I872" s="374"/>
    </row>
    <row r="873" ht="15.0" customHeight="1">
      <c r="A873" s="376"/>
      <c r="B873" s="378"/>
      <c r="C873" s="377"/>
      <c r="D873" s="465"/>
      <c r="E873" s="379"/>
      <c r="F873" s="379"/>
      <c r="G873" s="379"/>
      <c r="H873" s="380"/>
      <c r="I873" s="381"/>
    </row>
    <row r="874" ht="15.0" customHeight="1">
      <c r="A874" s="369"/>
      <c r="B874" s="371"/>
      <c r="C874" s="370"/>
      <c r="D874" s="464"/>
      <c r="E874" s="372"/>
      <c r="F874" s="372"/>
      <c r="G874" s="372"/>
      <c r="H874" s="373"/>
      <c r="I874" s="374"/>
    </row>
    <row r="875" ht="15.0" customHeight="1">
      <c r="A875" s="376"/>
      <c r="B875" s="378"/>
      <c r="C875" s="377"/>
      <c r="D875" s="465"/>
      <c r="E875" s="379"/>
      <c r="F875" s="379"/>
      <c r="G875" s="379"/>
      <c r="H875" s="380"/>
      <c r="I875" s="381"/>
    </row>
    <row r="876" ht="15.0" customHeight="1">
      <c r="A876" s="369"/>
      <c r="B876" s="371"/>
      <c r="C876" s="370"/>
      <c r="D876" s="464"/>
      <c r="E876" s="372"/>
      <c r="F876" s="372"/>
      <c r="G876" s="372"/>
      <c r="H876" s="373"/>
      <c r="I876" s="374"/>
    </row>
    <row r="877" ht="15.0" customHeight="1">
      <c r="A877" s="376"/>
      <c r="B877" s="378"/>
      <c r="C877" s="377"/>
      <c r="D877" s="465"/>
      <c r="E877" s="379"/>
      <c r="F877" s="379"/>
      <c r="G877" s="379"/>
      <c r="H877" s="380"/>
      <c r="I877" s="381"/>
    </row>
    <row r="878" ht="6.0" customHeight="1">
      <c r="A878" s="334"/>
      <c r="B878" s="335"/>
      <c r="C878" s="334"/>
      <c r="D878" s="441"/>
      <c r="E878" s="336"/>
      <c r="F878" s="336"/>
      <c r="G878" s="336"/>
      <c r="H878" s="334"/>
      <c r="I878" s="334"/>
    </row>
    <row r="879" ht="21.75" customHeight="1">
      <c r="A879" s="442" t="s">
        <v>532</v>
      </c>
      <c r="B879" s="56"/>
      <c r="C879" s="443"/>
      <c r="D879" s="444"/>
      <c r="E879" s="445"/>
      <c r="F879" s="446" t="s">
        <v>571</v>
      </c>
      <c r="G879" s="447">
        <f>SUM(G880:G909)</f>
        <v>0</v>
      </c>
      <c r="H879" s="443"/>
      <c r="I879" s="443"/>
    </row>
    <row r="880" ht="15.0" customHeight="1">
      <c r="A880" s="385"/>
      <c r="B880" s="387"/>
      <c r="C880" s="386"/>
      <c r="D880" s="472"/>
      <c r="E880" s="388"/>
      <c r="F880" s="388"/>
      <c r="G880" s="388"/>
      <c r="H880" s="389"/>
      <c r="I880" s="390"/>
    </row>
    <row r="881" ht="15.0" customHeight="1">
      <c r="A881" s="318"/>
      <c r="B881" s="320"/>
      <c r="C881" s="319"/>
      <c r="D881" s="439"/>
      <c r="E881" s="321"/>
      <c r="F881" s="321"/>
      <c r="G881" s="321"/>
      <c r="H881" s="322"/>
      <c r="I881" s="323"/>
    </row>
    <row r="882" ht="15.0" customHeight="1">
      <c r="A882" s="385"/>
      <c r="B882" s="387"/>
      <c r="C882" s="386"/>
      <c r="D882" s="472"/>
      <c r="E882" s="388"/>
      <c r="F882" s="388"/>
      <c r="G882" s="388"/>
      <c r="H882" s="389"/>
      <c r="I882" s="390"/>
    </row>
    <row r="883" ht="15.0" customHeight="1">
      <c r="A883" s="318"/>
      <c r="B883" s="320"/>
      <c r="C883" s="319"/>
      <c r="D883" s="439"/>
      <c r="E883" s="321"/>
      <c r="F883" s="321"/>
      <c r="G883" s="321"/>
      <c r="H883" s="322"/>
      <c r="I883" s="323"/>
    </row>
    <row r="884" ht="15.0" customHeight="1">
      <c r="A884" s="385"/>
      <c r="B884" s="387"/>
      <c r="C884" s="386"/>
      <c r="D884" s="472"/>
      <c r="E884" s="388"/>
      <c r="F884" s="388"/>
      <c r="G884" s="388"/>
      <c r="H884" s="389"/>
      <c r="I884" s="390"/>
    </row>
    <row r="885" ht="15.0" customHeight="1">
      <c r="A885" s="318"/>
      <c r="B885" s="320"/>
      <c r="C885" s="319"/>
      <c r="D885" s="439"/>
      <c r="E885" s="321"/>
      <c r="F885" s="321"/>
      <c r="G885" s="321"/>
      <c r="H885" s="322"/>
      <c r="I885" s="323"/>
    </row>
    <row r="886" ht="15.0" customHeight="1">
      <c r="A886" s="385"/>
      <c r="B886" s="387"/>
      <c r="C886" s="386"/>
      <c r="D886" s="472"/>
      <c r="E886" s="388"/>
      <c r="F886" s="388"/>
      <c r="G886" s="388"/>
      <c r="H886" s="389"/>
      <c r="I886" s="390"/>
    </row>
    <row r="887" ht="15.0" customHeight="1">
      <c r="A887" s="318"/>
      <c r="B887" s="320"/>
      <c r="C887" s="319"/>
      <c r="D887" s="439"/>
      <c r="E887" s="321"/>
      <c r="F887" s="321"/>
      <c r="G887" s="321"/>
      <c r="H887" s="322"/>
      <c r="I887" s="323"/>
    </row>
    <row r="888" ht="15.0" customHeight="1">
      <c r="A888" s="385"/>
      <c r="B888" s="387"/>
      <c r="C888" s="386"/>
      <c r="D888" s="472"/>
      <c r="E888" s="388"/>
      <c r="F888" s="388"/>
      <c r="G888" s="388"/>
      <c r="H888" s="389"/>
      <c r="I888" s="390"/>
    </row>
    <row r="889" ht="15.0" customHeight="1">
      <c r="A889" s="318"/>
      <c r="B889" s="320"/>
      <c r="C889" s="319"/>
      <c r="D889" s="439"/>
      <c r="E889" s="321"/>
      <c r="F889" s="321"/>
      <c r="G889" s="321"/>
      <c r="H889" s="322"/>
      <c r="I889" s="323"/>
    </row>
    <row r="890" ht="15.0" customHeight="1">
      <c r="A890" s="385"/>
      <c r="B890" s="387"/>
      <c r="C890" s="386"/>
      <c r="D890" s="472"/>
      <c r="E890" s="388"/>
      <c r="F890" s="388"/>
      <c r="G890" s="388"/>
      <c r="H890" s="389"/>
      <c r="I890" s="390"/>
    </row>
    <row r="891" ht="15.0" customHeight="1">
      <c r="A891" s="318"/>
      <c r="B891" s="320"/>
      <c r="C891" s="319"/>
      <c r="D891" s="439"/>
      <c r="E891" s="321"/>
      <c r="F891" s="321"/>
      <c r="G891" s="321"/>
      <c r="H891" s="322"/>
      <c r="I891" s="323"/>
    </row>
    <row r="892" ht="15.0" customHeight="1">
      <c r="A892" s="385"/>
      <c r="B892" s="387"/>
      <c r="C892" s="386"/>
      <c r="D892" s="472"/>
      <c r="E892" s="388"/>
      <c r="F892" s="388"/>
      <c r="G892" s="388"/>
      <c r="H892" s="389"/>
      <c r="I892" s="390"/>
    </row>
    <row r="893" ht="15.0" customHeight="1">
      <c r="A893" s="318"/>
      <c r="B893" s="320"/>
      <c r="C893" s="319"/>
      <c r="D893" s="439"/>
      <c r="E893" s="321"/>
      <c r="F893" s="321"/>
      <c r="G893" s="321"/>
      <c r="H893" s="322"/>
      <c r="I893" s="323"/>
    </row>
    <row r="894" ht="15.0" customHeight="1">
      <c r="A894" s="385"/>
      <c r="B894" s="387"/>
      <c r="C894" s="386"/>
      <c r="D894" s="472"/>
      <c r="E894" s="388"/>
      <c r="F894" s="388"/>
      <c r="G894" s="388"/>
      <c r="H894" s="389"/>
      <c r="I894" s="390"/>
    </row>
    <row r="895" ht="15.0" customHeight="1">
      <c r="A895" s="318"/>
      <c r="B895" s="320"/>
      <c r="C895" s="319"/>
      <c r="D895" s="439"/>
      <c r="E895" s="321"/>
      <c r="F895" s="321"/>
      <c r="G895" s="321"/>
      <c r="H895" s="322"/>
      <c r="I895" s="323"/>
    </row>
    <row r="896" ht="15.0" customHeight="1">
      <c r="A896" s="385"/>
      <c r="B896" s="387"/>
      <c r="C896" s="386"/>
      <c r="D896" s="472"/>
      <c r="E896" s="388"/>
      <c r="F896" s="388"/>
      <c r="G896" s="388"/>
      <c r="H896" s="389"/>
      <c r="I896" s="390"/>
    </row>
    <row r="897" ht="15.0" customHeight="1">
      <c r="A897" s="318"/>
      <c r="B897" s="320"/>
      <c r="C897" s="319"/>
      <c r="D897" s="439"/>
      <c r="E897" s="321"/>
      <c r="F897" s="321"/>
      <c r="G897" s="321"/>
      <c r="H897" s="322"/>
      <c r="I897" s="323"/>
    </row>
    <row r="898" ht="15.0" customHeight="1">
      <c r="A898" s="385"/>
      <c r="B898" s="387"/>
      <c r="C898" s="386"/>
      <c r="D898" s="472"/>
      <c r="E898" s="388"/>
      <c r="F898" s="388"/>
      <c r="G898" s="388"/>
      <c r="H898" s="389"/>
      <c r="I898" s="390"/>
    </row>
    <row r="899" ht="15.0" customHeight="1">
      <c r="A899" s="318"/>
      <c r="B899" s="320"/>
      <c r="C899" s="319"/>
      <c r="D899" s="439"/>
      <c r="E899" s="321"/>
      <c r="F899" s="321"/>
      <c r="G899" s="321"/>
      <c r="H899" s="322"/>
      <c r="I899" s="323"/>
    </row>
    <row r="900" ht="15.0" customHeight="1">
      <c r="A900" s="385"/>
      <c r="B900" s="387"/>
      <c r="C900" s="386"/>
      <c r="D900" s="472"/>
      <c r="E900" s="388"/>
      <c r="F900" s="388"/>
      <c r="G900" s="388"/>
      <c r="H900" s="389"/>
      <c r="I900" s="390"/>
    </row>
    <row r="901" ht="15.0" customHeight="1">
      <c r="A901" s="318"/>
      <c r="B901" s="320"/>
      <c r="C901" s="319"/>
      <c r="D901" s="439"/>
      <c r="E901" s="321"/>
      <c r="F901" s="321"/>
      <c r="G901" s="321"/>
      <c r="H901" s="322"/>
      <c r="I901" s="323"/>
    </row>
    <row r="902" ht="15.0" customHeight="1">
      <c r="A902" s="385"/>
      <c r="B902" s="387"/>
      <c r="C902" s="386"/>
      <c r="D902" s="472"/>
      <c r="E902" s="388"/>
      <c r="F902" s="388"/>
      <c r="G902" s="388"/>
      <c r="H902" s="389"/>
      <c r="I902" s="390"/>
    </row>
    <row r="903" ht="15.0" customHeight="1">
      <c r="A903" s="318"/>
      <c r="B903" s="320"/>
      <c r="C903" s="319"/>
      <c r="D903" s="439"/>
      <c r="E903" s="321"/>
      <c r="F903" s="321"/>
      <c r="G903" s="321"/>
      <c r="H903" s="322"/>
      <c r="I903" s="323"/>
    </row>
    <row r="904" ht="15.0" customHeight="1">
      <c r="A904" s="385"/>
      <c r="B904" s="387"/>
      <c r="C904" s="386"/>
      <c r="D904" s="472"/>
      <c r="E904" s="388"/>
      <c r="F904" s="388"/>
      <c r="G904" s="388"/>
      <c r="H904" s="389"/>
      <c r="I904" s="390"/>
    </row>
    <row r="905" ht="15.0" customHeight="1">
      <c r="A905" s="318"/>
      <c r="B905" s="320"/>
      <c r="C905" s="319"/>
      <c r="D905" s="439"/>
      <c r="E905" s="321"/>
      <c r="F905" s="321"/>
      <c r="G905" s="321"/>
      <c r="H905" s="322"/>
      <c r="I905" s="323"/>
    </row>
    <row r="906" ht="15.0" customHeight="1">
      <c r="A906" s="385"/>
      <c r="B906" s="387"/>
      <c r="C906" s="386"/>
      <c r="D906" s="472"/>
      <c r="E906" s="388"/>
      <c r="F906" s="388"/>
      <c r="G906" s="388"/>
      <c r="H906" s="389"/>
      <c r="I906" s="390"/>
    </row>
    <row r="907" ht="15.0" customHeight="1">
      <c r="A907" s="318"/>
      <c r="B907" s="320"/>
      <c r="C907" s="319"/>
      <c r="D907" s="439"/>
      <c r="E907" s="321"/>
      <c r="F907" s="321"/>
      <c r="G907" s="321"/>
      <c r="H907" s="322"/>
      <c r="I907" s="323"/>
    </row>
    <row r="908" ht="15.0" customHeight="1">
      <c r="A908" s="385"/>
      <c r="B908" s="387"/>
      <c r="C908" s="386"/>
      <c r="D908" s="472"/>
      <c r="E908" s="388"/>
      <c r="F908" s="388"/>
      <c r="G908" s="388"/>
      <c r="H908" s="389"/>
      <c r="I908" s="390"/>
    </row>
    <row r="909" ht="15.0" customHeight="1">
      <c r="A909" s="318"/>
      <c r="B909" s="320"/>
      <c r="C909" s="319"/>
      <c r="D909" s="439"/>
      <c r="E909" s="321"/>
      <c r="F909" s="321"/>
      <c r="G909" s="321"/>
      <c r="H909" s="322"/>
      <c r="I909" s="323"/>
    </row>
    <row r="910" ht="6.0" customHeight="1">
      <c r="A910" s="334"/>
      <c r="B910" s="335"/>
      <c r="C910" s="334"/>
      <c r="D910" s="441"/>
      <c r="E910" s="336"/>
      <c r="F910" s="336"/>
      <c r="G910" s="336"/>
      <c r="H910" s="334"/>
      <c r="I910" s="334"/>
    </row>
    <row r="911" ht="21.75" customHeight="1">
      <c r="A911" s="450" t="s">
        <v>533</v>
      </c>
      <c r="B911" s="56"/>
      <c r="C911" s="451"/>
      <c r="D911" s="452"/>
      <c r="E911" s="453"/>
      <c r="F911" s="478" t="s">
        <v>571</v>
      </c>
      <c r="G911" s="455">
        <f>SUM(G912:G941)</f>
        <v>0</v>
      </c>
      <c r="H911" s="451"/>
      <c r="I911" s="451"/>
    </row>
    <row r="912" ht="15.0" customHeight="1">
      <c r="A912" s="394"/>
      <c r="B912" s="396"/>
      <c r="C912" s="395"/>
      <c r="D912" s="474"/>
      <c r="E912" s="397"/>
      <c r="F912" s="397"/>
      <c r="G912" s="397"/>
      <c r="H912" s="398"/>
      <c r="I912" s="399"/>
    </row>
    <row r="913" ht="15.0" customHeight="1">
      <c r="A913" s="401"/>
      <c r="B913" s="403"/>
      <c r="C913" s="402"/>
      <c r="D913" s="475"/>
      <c r="E913" s="404"/>
      <c r="F913" s="404"/>
      <c r="G913" s="404"/>
      <c r="H913" s="405"/>
      <c r="I913" s="406"/>
    </row>
    <row r="914" ht="15.0" customHeight="1">
      <c r="A914" s="394"/>
      <c r="B914" s="396"/>
      <c r="C914" s="395"/>
      <c r="D914" s="474"/>
      <c r="E914" s="397"/>
      <c r="F914" s="397"/>
      <c r="G914" s="397"/>
      <c r="H914" s="398"/>
      <c r="I914" s="399"/>
    </row>
    <row r="915" ht="15.0" customHeight="1">
      <c r="A915" s="401"/>
      <c r="B915" s="403"/>
      <c r="C915" s="402"/>
      <c r="D915" s="475"/>
      <c r="E915" s="404"/>
      <c r="F915" s="404"/>
      <c r="G915" s="404"/>
      <c r="H915" s="405"/>
      <c r="I915" s="406"/>
    </row>
    <row r="916" ht="15.0" customHeight="1">
      <c r="A916" s="394"/>
      <c r="B916" s="396"/>
      <c r="C916" s="395"/>
      <c r="D916" s="474"/>
      <c r="E916" s="397"/>
      <c r="F916" s="397"/>
      <c r="G916" s="397"/>
      <c r="H916" s="398"/>
      <c r="I916" s="399"/>
    </row>
    <row r="917" ht="15.0" customHeight="1">
      <c r="A917" s="401"/>
      <c r="B917" s="403"/>
      <c r="C917" s="402"/>
      <c r="D917" s="475"/>
      <c r="E917" s="404"/>
      <c r="F917" s="404"/>
      <c r="G917" s="404"/>
      <c r="H917" s="405"/>
      <c r="I917" s="406"/>
    </row>
    <row r="918" ht="15.0" customHeight="1">
      <c r="A918" s="394"/>
      <c r="B918" s="396"/>
      <c r="C918" s="395"/>
      <c r="D918" s="474"/>
      <c r="E918" s="397"/>
      <c r="F918" s="397"/>
      <c r="G918" s="397"/>
      <c r="H918" s="398"/>
      <c r="I918" s="399"/>
    </row>
    <row r="919" ht="15.0" customHeight="1">
      <c r="A919" s="401"/>
      <c r="B919" s="403"/>
      <c r="C919" s="402"/>
      <c r="D919" s="475"/>
      <c r="E919" s="404"/>
      <c r="F919" s="404"/>
      <c r="G919" s="404"/>
      <c r="H919" s="405"/>
      <c r="I919" s="406"/>
    </row>
    <row r="920" ht="15.0" customHeight="1">
      <c r="A920" s="394"/>
      <c r="B920" s="396"/>
      <c r="C920" s="395"/>
      <c r="D920" s="474"/>
      <c r="E920" s="397"/>
      <c r="F920" s="397"/>
      <c r="G920" s="397"/>
      <c r="H920" s="398"/>
      <c r="I920" s="399"/>
    </row>
    <row r="921" ht="15.0" customHeight="1">
      <c r="A921" s="401"/>
      <c r="B921" s="403"/>
      <c r="C921" s="402"/>
      <c r="D921" s="475"/>
      <c r="E921" s="404"/>
      <c r="F921" s="404"/>
      <c r="G921" s="404"/>
      <c r="H921" s="405"/>
      <c r="I921" s="406"/>
    </row>
    <row r="922" ht="15.0" customHeight="1">
      <c r="A922" s="394"/>
      <c r="B922" s="396"/>
      <c r="C922" s="395"/>
      <c r="D922" s="474"/>
      <c r="E922" s="397"/>
      <c r="F922" s="397"/>
      <c r="G922" s="397"/>
      <c r="H922" s="398"/>
      <c r="I922" s="399"/>
    </row>
    <row r="923" ht="15.0" customHeight="1">
      <c r="A923" s="401"/>
      <c r="B923" s="403"/>
      <c r="C923" s="402"/>
      <c r="D923" s="475"/>
      <c r="E923" s="404"/>
      <c r="F923" s="404"/>
      <c r="G923" s="404"/>
      <c r="H923" s="405"/>
      <c r="I923" s="406"/>
    </row>
    <row r="924" ht="15.0" customHeight="1">
      <c r="A924" s="394"/>
      <c r="B924" s="396"/>
      <c r="C924" s="395"/>
      <c r="D924" s="474"/>
      <c r="E924" s="397"/>
      <c r="F924" s="397"/>
      <c r="G924" s="397"/>
      <c r="H924" s="398"/>
      <c r="I924" s="399"/>
    </row>
    <row r="925" ht="15.0" customHeight="1">
      <c r="A925" s="401"/>
      <c r="B925" s="403"/>
      <c r="C925" s="402"/>
      <c r="D925" s="475"/>
      <c r="E925" s="404"/>
      <c r="F925" s="404"/>
      <c r="G925" s="404"/>
      <c r="H925" s="405"/>
      <c r="I925" s="406"/>
    </row>
    <row r="926" ht="15.0" customHeight="1">
      <c r="A926" s="394"/>
      <c r="B926" s="396"/>
      <c r="C926" s="395"/>
      <c r="D926" s="474"/>
      <c r="E926" s="397"/>
      <c r="F926" s="397"/>
      <c r="G926" s="397"/>
      <c r="H926" s="398"/>
      <c r="I926" s="399"/>
    </row>
    <row r="927" ht="15.0" customHeight="1">
      <c r="A927" s="401"/>
      <c r="B927" s="403"/>
      <c r="C927" s="402"/>
      <c r="D927" s="475"/>
      <c r="E927" s="404"/>
      <c r="F927" s="404"/>
      <c r="G927" s="404"/>
      <c r="H927" s="405"/>
      <c r="I927" s="406"/>
    </row>
    <row r="928" ht="15.0" customHeight="1">
      <c r="A928" s="394"/>
      <c r="B928" s="396"/>
      <c r="C928" s="395"/>
      <c r="D928" s="474"/>
      <c r="E928" s="397"/>
      <c r="F928" s="397"/>
      <c r="G928" s="397"/>
      <c r="H928" s="398"/>
      <c r="I928" s="399"/>
    </row>
    <row r="929" ht="15.0" customHeight="1">
      <c r="A929" s="401"/>
      <c r="B929" s="403"/>
      <c r="C929" s="402"/>
      <c r="D929" s="475"/>
      <c r="E929" s="404"/>
      <c r="F929" s="404"/>
      <c r="G929" s="404"/>
      <c r="H929" s="405"/>
      <c r="I929" s="406"/>
    </row>
    <row r="930" ht="15.0" customHeight="1">
      <c r="A930" s="394"/>
      <c r="B930" s="396"/>
      <c r="C930" s="395"/>
      <c r="D930" s="474"/>
      <c r="E930" s="397"/>
      <c r="F930" s="397"/>
      <c r="G930" s="397"/>
      <c r="H930" s="398"/>
      <c r="I930" s="399"/>
    </row>
    <row r="931" ht="15.0" customHeight="1">
      <c r="A931" s="401"/>
      <c r="B931" s="403"/>
      <c r="C931" s="402"/>
      <c r="D931" s="475"/>
      <c r="E931" s="404"/>
      <c r="F931" s="404"/>
      <c r="G931" s="404"/>
      <c r="H931" s="405"/>
      <c r="I931" s="406"/>
    </row>
    <row r="932" ht="15.0" customHeight="1">
      <c r="A932" s="394"/>
      <c r="B932" s="396"/>
      <c r="C932" s="395"/>
      <c r="D932" s="474"/>
      <c r="E932" s="397"/>
      <c r="F932" s="397"/>
      <c r="G932" s="397"/>
      <c r="H932" s="398"/>
      <c r="I932" s="399"/>
    </row>
    <row r="933" ht="15.0" customHeight="1">
      <c r="A933" s="401"/>
      <c r="B933" s="403"/>
      <c r="C933" s="402"/>
      <c r="D933" s="475"/>
      <c r="E933" s="404"/>
      <c r="F933" s="404"/>
      <c r="G933" s="404"/>
      <c r="H933" s="405"/>
      <c r="I933" s="406"/>
    </row>
    <row r="934" ht="15.0" customHeight="1">
      <c r="A934" s="394"/>
      <c r="B934" s="396"/>
      <c r="C934" s="395"/>
      <c r="D934" s="474"/>
      <c r="E934" s="397"/>
      <c r="F934" s="397"/>
      <c r="G934" s="397"/>
      <c r="H934" s="398"/>
      <c r="I934" s="399"/>
    </row>
    <row r="935" ht="15.0" customHeight="1">
      <c r="A935" s="401"/>
      <c r="B935" s="403"/>
      <c r="C935" s="402"/>
      <c r="D935" s="475"/>
      <c r="E935" s="404"/>
      <c r="F935" s="404"/>
      <c r="G935" s="404"/>
      <c r="H935" s="405"/>
      <c r="I935" s="406"/>
    </row>
    <row r="936" ht="15.0" customHeight="1">
      <c r="A936" s="394"/>
      <c r="B936" s="396"/>
      <c r="C936" s="395"/>
      <c r="D936" s="474"/>
      <c r="E936" s="397"/>
      <c r="F936" s="397"/>
      <c r="G936" s="397"/>
      <c r="H936" s="398"/>
      <c r="I936" s="399"/>
    </row>
    <row r="937" ht="15.0" customHeight="1">
      <c r="A937" s="401"/>
      <c r="B937" s="403"/>
      <c r="C937" s="402"/>
      <c r="D937" s="475"/>
      <c r="E937" s="404"/>
      <c r="F937" s="404"/>
      <c r="G937" s="404"/>
      <c r="H937" s="405"/>
      <c r="I937" s="406"/>
    </row>
    <row r="938" ht="15.0" customHeight="1">
      <c r="A938" s="394"/>
      <c r="B938" s="396"/>
      <c r="C938" s="395"/>
      <c r="D938" s="474"/>
      <c r="E938" s="397"/>
      <c r="F938" s="397"/>
      <c r="G938" s="397"/>
      <c r="H938" s="398"/>
      <c r="I938" s="399"/>
    </row>
    <row r="939" ht="15.0" customHeight="1">
      <c r="A939" s="401"/>
      <c r="B939" s="403"/>
      <c r="C939" s="402"/>
      <c r="D939" s="475"/>
      <c r="E939" s="404"/>
      <c r="F939" s="404"/>
      <c r="G939" s="404"/>
      <c r="H939" s="405"/>
      <c r="I939" s="406"/>
    </row>
    <row r="940" ht="15.0" customHeight="1">
      <c r="A940" s="394"/>
      <c r="B940" s="396"/>
      <c r="C940" s="395"/>
      <c r="D940" s="474"/>
      <c r="E940" s="397"/>
      <c r="F940" s="397"/>
      <c r="G940" s="397"/>
      <c r="H940" s="398"/>
      <c r="I940" s="399"/>
    </row>
    <row r="941" ht="15.0" customHeight="1">
      <c r="A941" s="401"/>
      <c r="B941" s="403"/>
      <c r="C941" s="402"/>
      <c r="D941" s="475"/>
      <c r="E941" s="404"/>
      <c r="F941" s="404"/>
      <c r="G941" s="404"/>
      <c r="H941" s="405"/>
      <c r="I941" s="406"/>
    </row>
    <row r="942" ht="6.0" customHeight="1">
      <c r="A942" s="334"/>
      <c r="B942" s="335"/>
      <c r="C942" s="334"/>
      <c r="D942" s="441"/>
      <c r="E942" s="336"/>
      <c r="F942" s="336"/>
      <c r="G942" s="336"/>
      <c r="H942" s="334"/>
      <c r="I942" s="334"/>
    </row>
    <row r="943" ht="21.75" customHeight="1">
      <c r="A943" s="458" t="s">
        <v>534</v>
      </c>
      <c r="B943" s="56"/>
      <c r="C943" s="459"/>
      <c r="D943" s="460"/>
      <c r="E943" s="461"/>
      <c r="F943" s="462" t="s">
        <v>571</v>
      </c>
      <c r="G943" s="463">
        <f>SUM(G944:G973)</f>
        <v>0</v>
      </c>
      <c r="H943" s="459"/>
      <c r="I943" s="459"/>
    </row>
    <row r="944" ht="15.0" customHeight="1">
      <c r="A944" s="318"/>
      <c r="B944" s="320"/>
      <c r="C944" s="319"/>
      <c r="D944" s="439"/>
      <c r="E944" s="321"/>
      <c r="F944" s="321"/>
      <c r="G944" s="321"/>
      <c r="H944" s="322"/>
      <c r="I944" s="323"/>
    </row>
    <row r="945" ht="15.0" customHeight="1">
      <c r="A945" s="325"/>
      <c r="B945" s="327"/>
      <c r="C945" s="326"/>
      <c r="D945" s="440"/>
      <c r="E945" s="328"/>
      <c r="F945" s="328"/>
      <c r="G945" s="328"/>
      <c r="H945" s="329"/>
      <c r="I945" s="330"/>
    </row>
    <row r="946" ht="15.0" customHeight="1">
      <c r="A946" s="318"/>
      <c r="B946" s="320"/>
      <c r="C946" s="319"/>
      <c r="D946" s="439"/>
      <c r="E946" s="321"/>
      <c r="F946" s="321"/>
      <c r="G946" s="321"/>
      <c r="H946" s="322"/>
      <c r="I946" s="323"/>
    </row>
    <row r="947" ht="15.0" customHeight="1">
      <c r="A947" s="325"/>
      <c r="B947" s="327"/>
      <c r="C947" s="326"/>
      <c r="D947" s="440"/>
      <c r="E947" s="328"/>
      <c r="F947" s="328"/>
      <c r="G947" s="328"/>
      <c r="H947" s="329"/>
      <c r="I947" s="330"/>
    </row>
    <row r="948" ht="15.0" customHeight="1">
      <c r="A948" s="318"/>
      <c r="B948" s="320"/>
      <c r="C948" s="319"/>
      <c r="D948" s="439"/>
      <c r="E948" s="321"/>
      <c r="F948" s="321"/>
      <c r="G948" s="321"/>
      <c r="H948" s="322"/>
      <c r="I948" s="323"/>
    </row>
    <row r="949" ht="15.0" customHeight="1">
      <c r="A949" s="325"/>
      <c r="B949" s="327"/>
      <c r="C949" s="326"/>
      <c r="D949" s="440"/>
      <c r="E949" s="328"/>
      <c r="F949" s="328"/>
      <c r="G949" s="328"/>
      <c r="H949" s="329"/>
      <c r="I949" s="330"/>
    </row>
    <row r="950" ht="15.0" customHeight="1">
      <c r="A950" s="318"/>
      <c r="B950" s="320"/>
      <c r="C950" s="319"/>
      <c r="D950" s="439"/>
      <c r="E950" s="321"/>
      <c r="F950" s="321"/>
      <c r="G950" s="321"/>
      <c r="H950" s="322"/>
      <c r="I950" s="323"/>
    </row>
    <row r="951" ht="15.0" customHeight="1">
      <c r="A951" s="325"/>
      <c r="B951" s="327"/>
      <c r="C951" s="326"/>
      <c r="D951" s="440"/>
      <c r="E951" s="328"/>
      <c r="F951" s="328"/>
      <c r="G951" s="328"/>
      <c r="H951" s="329"/>
      <c r="I951" s="330"/>
    </row>
    <row r="952" ht="15.0" customHeight="1">
      <c r="A952" s="318"/>
      <c r="B952" s="320"/>
      <c r="C952" s="319"/>
      <c r="D952" s="439"/>
      <c r="E952" s="321"/>
      <c r="F952" s="321"/>
      <c r="G952" s="321"/>
      <c r="H952" s="322"/>
      <c r="I952" s="323"/>
    </row>
    <row r="953" ht="15.0" customHeight="1">
      <c r="A953" s="325"/>
      <c r="B953" s="327"/>
      <c r="C953" s="476"/>
      <c r="D953" s="440"/>
      <c r="E953" s="328"/>
      <c r="F953" s="328"/>
      <c r="G953" s="328"/>
      <c r="H953" s="329"/>
      <c r="I953" s="330"/>
    </row>
    <row r="954" ht="15.0" customHeight="1">
      <c r="A954" s="318"/>
      <c r="B954" s="320"/>
      <c r="C954" s="477"/>
      <c r="D954" s="439"/>
      <c r="E954" s="321"/>
      <c r="F954" s="321"/>
      <c r="G954" s="321"/>
      <c r="H954" s="322"/>
      <c r="I954" s="323"/>
    </row>
    <row r="955" ht="15.0" customHeight="1">
      <c r="A955" s="325"/>
      <c r="B955" s="327"/>
      <c r="C955" s="476"/>
      <c r="D955" s="440"/>
      <c r="E955" s="328"/>
      <c r="F955" s="328"/>
      <c r="G955" s="328"/>
      <c r="H955" s="329"/>
      <c r="I955" s="330"/>
    </row>
    <row r="956" ht="15.0" customHeight="1">
      <c r="A956" s="318"/>
      <c r="B956" s="320"/>
      <c r="C956" s="477"/>
      <c r="D956" s="439"/>
      <c r="E956" s="321"/>
      <c r="F956" s="321"/>
      <c r="G956" s="321"/>
      <c r="H956" s="322"/>
      <c r="I956" s="323"/>
    </row>
    <row r="957" ht="15.0" customHeight="1">
      <c r="A957" s="325"/>
      <c r="B957" s="327"/>
      <c r="C957" s="476"/>
      <c r="D957" s="440"/>
      <c r="E957" s="328"/>
      <c r="F957" s="328"/>
      <c r="G957" s="328"/>
      <c r="H957" s="329"/>
      <c r="I957" s="330"/>
    </row>
    <row r="958" ht="15.0" customHeight="1">
      <c r="A958" s="318"/>
      <c r="B958" s="320"/>
      <c r="C958" s="477"/>
      <c r="D958" s="439"/>
      <c r="E958" s="321"/>
      <c r="F958" s="321"/>
      <c r="G958" s="321"/>
      <c r="H958" s="322"/>
      <c r="I958" s="323"/>
    </row>
    <row r="959" ht="15.0" customHeight="1">
      <c r="A959" s="325"/>
      <c r="B959" s="327"/>
      <c r="C959" s="476"/>
      <c r="D959" s="440"/>
      <c r="E959" s="328"/>
      <c r="F959" s="328"/>
      <c r="G959" s="328"/>
      <c r="H959" s="329"/>
      <c r="I959" s="330"/>
    </row>
    <row r="960" ht="15.0" customHeight="1">
      <c r="A960" s="318"/>
      <c r="B960" s="320"/>
      <c r="C960" s="477"/>
      <c r="D960" s="439"/>
      <c r="E960" s="321"/>
      <c r="F960" s="321"/>
      <c r="G960" s="321"/>
      <c r="H960" s="322"/>
      <c r="I960" s="323"/>
    </row>
    <row r="961" ht="15.0" customHeight="1">
      <c r="A961" s="325"/>
      <c r="B961" s="327"/>
      <c r="C961" s="476"/>
      <c r="D961" s="440"/>
      <c r="E961" s="328"/>
      <c r="F961" s="328"/>
      <c r="G961" s="328"/>
      <c r="H961" s="329"/>
      <c r="I961" s="330"/>
    </row>
    <row r="962" ht="15.0" customHeight="1">
      <c r="A962" s="318"/>
      <c r="B962" s="320"/>
      <c r="C962" s="477"/>
      <c r="D962" s="439"/>
      <c r="E962" s="321"/>
      <c r="F962" s="321"/>
      <c r="G962" s="321"/>
      <c r="H962" s="322"/>
      <c r="I962" s="323"/>
    </row>
    <row r="963" ht="15.0" customHeight="1">
      <c r="A963" s="325"/>
      <c r="B963" s="327"/>
      <c r="C963" s="476"/>
      <c r="D963" s="440"/>
      <c r="E963" s="328"/>
      <c r="F963" s="328"/>
      <c r="G963" s="328"/>
      <c r="H963" s="329"/>
      <c r="I963" s="330"/>
    </row>
    <row r="964" ht="15.0" customHeight="1">
      <c r="A964" s="318"/>
      <c r="B964" s="320"/>
      <c r="C964" s="477"/>
      <c r="D964" s="439"/>
      <c r="E964" s="321"/>
      <c r="F964" s="321"/>
      <c r="G964" s="321"/>
      <c r="H964" s="322"/>
      <c r="I964" s="323"/>
    </row>
    <row r="965" ht="15.0" customHeight="1">
      <c r="A965" s="325"/>
      <c r="B965" s="327"/>
      <c r="C965" s="476"/>
      <c r="D965" s="440"/>
      <c r="E965" s="328"/>
      <c r="F965" s="328"/>
      <c r="G965" s="328"/>
      <c r="H965" s="329"/>
      <c r="I965" s="330"/>
    </row>
    <row r="966" ht="15.0" customHeight="1">
      <c r="A966" s="318"/>
      <c r="B966" s="320"/>
      <c r="C966" s="477"/>
      <c r="D966" s="439"/>
      <c r="E966" s="321"/>
      <c r="F966" s="321"/>
      <c r="G966" s="321"/>
      <c r="H966" s="322"/>
      <c r="I966" s="323"/>
    </row>
    <row r="967" ht="15.0" customHeight="1">
      <c r="A967" s="325"/>
      <c r="B967" s="327"/>
      <c r="C967" s="476"/>
      <c r="D967" s="440"/>
      <c r="E967" s="328"/>
      <c r="F967" s="328"/>
      <c r="G967" s="328"/>
      <c r="H967" s="329"/>
      <c r="I967" s="330"/>
    </row>
    <row r="968" ht="15.0" customHeight="1">
      <c r="A968" s="318"/>
      <c r="B968" s="320"/>
      <c r="C968" s="477"/>
      <c r="D968" s="439"/>
      <c r="E968" s="321"/>
      <c r="F968" s="321"/>
      <c r="G968" s="321"/>
      <c r="H968" s="322"/>
      <c r="I968" s="323"/>
    </row>
    <row r="969" ht="15.0" customHeight="1">
      <c r="A969" s="325"/>
      <c r="B969" s="327"/>
      <c r="C969" s="476"/>
      <c r="D969" s="440"/>
      <c r="E969" s="328"/>
      <c r="F969" s="328"/>
      <c r="G969" s="328"/>
      <c r="H969" s="329"/>
      <c r="I969" s="330"/>
    </row>
    <row r="970" ht="15.0" customHeight="1">
      <c r="A970" s="318"/>
      <c r="B970" s="320"/>
      <c r="C970" s="477"/>
      <c r="D970" s="439"/>
      <c r="E970" s="321"/>
      <c r="F970" s="321"/>
      <c r="G970" s="321"/>
      <c r="H970" s="322"/>
      <c r="I970" s="323"/>
    </row>
    <row r="971" ht="15.0" customHeight="1">
      <c r="A971" s="325"/>
      <c r="B971" s="327"/>
      <c r="C971" s="476"/>
      <c r="D971" s="440"/>
      <c r="E971" s="328"/>
      <c r="F971" s="328"/>
      <c r="G971" s="328"/>
      <c r="H971" s="329"/>
      <c r="I971" s="330"/>
    </row>
    <row r="972" ht="15.0" customHeight="1">
      <c r="A972" s="318"/>
      <c r="B972" s="320"/>
      <c r="C972" s="477"/>
      <c r="D972" s="439"/>
      <c r="E972" s="321"/>
      <c r="F972" s="321"/>
      <c r="G972" s="321"/>
      <c r="H972" s="322"/>
      <c r="I972" s="323"/>
    </row>
    <row r="973" ht="15.0" customHeight="1">
      <c r="A973" s="325"/>
      <c r="B973" s="327"/>
      <c r="C973" s="326"/>
      <c r="D973" s="440"/>
      <c r="E973" s="328"/>
      <c r="F973" s="328"/>
      <c r="G973" s="328"/>
      <c r="H973" s="329"/>
      <c r="I973" s="330"/>
    </row>
    <row r="974" ht="6.0" customHeight="1">
      <c r="A974" s="479"/>
      <c r="B974" s="479"/>
      <c r="C974" s="479"/>
      <c r="D974" s="479"/>
      <c r="E974" s="479"/>
      <c r="F974" s="479"/>
      <c r="G974" s="479"/>
      <c r="H974" s="479"/>
      <c r="I974" s="479"/>
    </row>
    <row r="975" ht="21.75" customHeight="1">
      <c r="A975" s="466" t="s">
        <v>535</v>
      </c>
      <c r="B975" s="56"/>
      <c r="C975" s="467"/>
      <c r="D975" s="467"/>
      <c r="E975" s="467"/>
      <c r="F975" s="480" t="s">
        <v>571</v>
      </c>
      <c r="G975" s="471">
        <f>SUM(G976:G1005)</f>
        <v>0</v>
      </c>
      <c r="H975" s="467"/>
      <c r="I975" s="467"/>
    </row>
    <row r="976" ht="15.0" customHeight="1">
      <c r="A976" s="337"/>
      <c r="B976" s="339">
        <f>COUNTA(C916:C945)</f>
        <v>0</v>
      </c>
      <c r="C976" s="481" t="str">
        <f>G915</f>
        <v/>
      </c>
      <c r="D976" s="448"/>
      <c r="E976" s="340"/>
      <c r="F976" s="340"/>
      <c r="G976" s="340"/>
      <c r="H976" s="341"/>
      <c r="I976" s="342"/>
    </row>
    <row r="977" ht="15.0" customHeight="1">
      <c r="A977" s="344"/>
      <c r="B977" s="346"/>
      <c r="C977" s="345"/>
      <c r="D977" s="449"/>
      <c r="E977" s="347"/>
      <c r="F977" s="347"/>
      <c r="G977" s="347"/>
      <c r="H977" s="348"/>
      <c r="I977" s="349"/>
    </row>
    <row r="978" ht="15.0" customHeight="1">
      <c r="A978" s="337"/>
      <c r="B978" s="339"/>
      <c r="C978" s="338"/>
      <c r="D978" s="448"/>
      <c r="E978" s="340"/>
      <c r="F978" s="340"/>
      <c r="G978" s="340"/>
      <c r="H978" s="341"/>
      <c r="I978" s="342"/>
    </row>
    <row r="979" ht="15.0" customHeight="1">
      <c r="A979" s="344"/>
      <c r="B979" s="346"/>
      <c r="C979" s="345"/>
      <c r="D979" s="449"/>
      <c r="E979" s="347"/>
      <c r="F979" s="347"/>
      <c r="G979" s="347"/>
      <c r="H979" s="348"/>
      <c r="I979" s="349"/>
    </row>
    <row r="980" ht="15.0" customHeight="1">
      <c r="A980" s="337"/>
      <c r="B980" s="339"/>
      <c r="C980" s="338"/>
      <c r="D980" s="448"/>
      <c r="E980" s="340"/>
      <c r="F980" s="340"/>
      <c r="G980" s="340"/>
      <c r="H980" s="341"/>
      <c r="I980" s="342"/>
    </row>
    <row r="981" ht="15.0" customHeight="1">
      <c r="A981" s="344"/>
      <c r="B981" s="346"/>
      <c r="C981" s="345"/>
      <c r="D981" s="449"/>
      <c r="E981" s="347"/>
      <c r="F981" s="347"/>
      <c r="G981" s="347"/>
      <c r="H981" s="348"/>
      <c r="I981" s="349"/>
    </row>
    <row r="982" ht="15.0" customHeight="1">
      <c r="A982" s="337"/>
      <c r="B982" s="339"/>
      <c r="C982" s="338"/>
      <c r="D982" s="448"/>
      <c r="E982" s="340"/>
      <c r="F982" s="340"/>
      <c r="G982" s="340"/>
      <c r="H982" s="341"/>
      <c r="I982" s="342"/>
    </row>
    <row r="983" ht="15.0" customHeight="1">
      <c r="A983" s="344"/>
      <c r="B983" s="346"/>
      <c r="C983" s="345"/>
      <c r="D983" s="449"/>
      <c r="E983" s="347"/>
      <c r="F983" s="347"/>
      <c r="G983" s="347"/>
      <c r="H983" s="348"/>
      <c r="I983" s="349"/>
    </row>
    <row r="984" ht="15.0" customHeight="1">
      <c r="A984" s="337"/>
      <c r="B984" s="339"/>
      <c r="C984" s="338"/>
      <c r="D984" s="448"/>
      <c r="E984" s="340"/>
      <c r="F984" s="340"/>
      <c r="G984" s="340"/>
      <c r="H984" s="341"/>
      <c r="I984" s="342"/>
    </row>
    <row r="985" ht="15.0" customHeight="1">
      <c r="A985" s="344"/>
      <c r="B985" s="346"/>
      <c r="C985" s="345"/>
      <c r="D985" s="449"/>
      <c r="E985" s="347"/>
      <c r="F985" s="347"/>
      <c r="G985" s="347"/>
      <c r="H985" s="348"/>
      <c r="I985" s="349"/>
    </row>
    <row r="986" ht="15.0" customHeight="1">
      <c r="A986" s="337"/>
      <c r="B986" s="339"/>
      <c r="C986" s="338"/>
      <c r="D986" s="448"/>
      <c r="E986" s="340"/>
      <c r="F986" s="340"/>
      <c r="G986" s="340"/>
      <c r="H986" s="341"/>
      <c r="I986" s="342"/>
    </row>
    <row r="987" ht="15.0" customHeight="1">
      <c r="A987" s="344"/>
      <c r="B987" s="346"/>
      <c r="C987" s="345"/>
      <c r="D987" s="449"/>
      <c r="E987" s="347"/>
      <c r="F987" s="347"/>
      <c r="G987" s="347"/>
      <c r="H987" s="348"/>
      <c r="I987" s="349"/>
    </row>
    <row r="988" ht="15.0" customHeight="1">
      <c r="A988" s="337"/>
      <c r="B988" s="339"/>
      <c r="C988" s="338"/>
      <c r="D988" s="448"/>
      <c r="E988" s="340"/>
      <c r="F988" s="340"/>
      <c r="G988" s="340"/>
      <c r="H988" s="341"/>
      <c r="I988" s="342"/>
    </row>
    <row r="989" ht="15.0" customHeight="1">
      <c r="A989" s="344"/>
      <c r="B989" s="346"/>
      <c r="C989" s="345"/>
      <c r="D989" s="449"/>
      <c r="E989" s="347"/>
      <c r="F989" s="347"/>
      <c r="G989" s="347"/>
      <c r="H989" s="348"/>
      <c r="I989" s="349"/>
    </row>
    <row r="990" ht="15.0" customHeight="1">
      <c r="A990" s="337"/>
      <c r="B990" s="339"/>
      <c r="C990" s="338"/>
      <c r="D990" s="448"/>
      <c r="E990" s="340"/>
      <c r="F990" s="340"/>
      <c r="G990" s="340"/>
      <c r="H990" s="341"/>
      <c r="I990" s="342"/>
    </row>
    <row r="991" ht="15.0" customHeight="1">
      <c r="A991" s="344"/>
      <c r="B991" s="346"/>
      <c r="C991" s="345"/>
      <c r="D991" s="449"/>
      <c r="E991" s="347"/>
      <c r="F991" s="347"/>
      <c r="G991" s="347"/>
      <c r="H991" s="348"/>
      <c r="I991" s="349"/>
    </row>
    <row r="992" ht="15.0" customHeight="1">
      <c r="A992" s="337"/>
      <c r="B992" s="339"/>
      <c r="C992" s="338"/>
      <c r="D992" s="448"/>
      <c r="E992" s="340"/>
      <c r="F992" s="340"/>
      <c r="G992" s="340"/>
      <c r="H992" s="341"/>
      <c r="I992" s="342"/>
    </row>
    <row r="993" ht="15.0" customHeight="1">
      <c r="A993" s="344"/>
      <c r="B993" s="346"/>
      <c r="C993" s="345"/>
      <c r="D993" s="449"/>
      <c r="E993" s="347"/>
      <c r="F993" s="347"/>
      <c r="G993" s="347"/>
      <c r="H993" s="348"/>
      <c r="I993" s="349"/>
    </row>
    <row r="994" ht="15.0" customHeight="1">
      <c r="A994" s="337"/>
      <c r="B994" s="339"/>
      <c r="C994" s="338"/>
      <c r="D994" s="448"/>
      <c r="E994" s="340"/>
      <c r="F994" s="340"/>
      <c r="G994" s="340"/>
      <c r="H994" s="341"/>
      <c r="I994" s="342"/>
    </row>
    <row r="995" ht="15.0" customHeight="1">
      <c r="A995" s="344"/>
      <c r="B995" s="346"/>
      <c r="C995" s="345"/>
      <c r="D995" s="449"/>
      <c r="E995" s="347"/>
      <c r="F995" s="347"/>
      <c r="G995" s="347"/>
      <c r="H995" s="348"/>
      <c r="I995" s="349"/>
    </row>
    <row r="996" ht="15.0" customHeight="1">
      <c r="A996" s="337"/>
      <c r="B996" s="339"/>
      <c r="C996" s="338"/>
      <c r="D996" s="448"/>
      <c r="E996" s="340"/>
      <c r="F996" s="340"/>
      <c r="G996" s="340"/>
      <c r="H996" s="341"/>
      <c r="I996" s="342"/>
    </row>
    <row r="997" ht="15.0" customHeight="1">
      <c r="A997" s="344"/>
      <c r="B997" s="346"/>
      <c r="C997" s="345"/>
      <c r="D997" s="449"/>
      <c r="E997" s="347"/>
      <c r="F997" s="347"/>
      <c r="G997" s="347"/>
      <c r="H997" s="348"/>
      <c r="I997" s="349"/>
    </row>
    <row r="998" ht="15.0" customHeight="1">
      <c r="A998" s="337"/>
      <c r="B998" s="339"/>
      <c r="C998" s="338"/>
      <c r="D998" s="448"/>
      <c r="E998" s="340"/>
      <c r="F998" s="340"/>
      <c r="G998" s="340"/>
      <c r="H998" s="341"/>
      <c r="I998" s="342"/>
    </row>
    <row r="999" ht="15.0" customHeight="1">
      <c r="A999" s="344"/>
      <c r="B999" s="346"/>
      <c r="C999" s="345"/>
      <c r="D999" s="449"/>
      <c r="E999" s="347"/>
      <c r="F999" s="347"/>
      <c r="G999" s="347"/>
      <c r="H999" s="348"/>
      <c r="I999" s="349"/>
    </row>
    <row r="1000" ht="15.0" customHeight="1">
      <c r="A1000" s="337"/>
      <c r="B1000" s="339"/>
      <c r="C1000" s="338"/>
      <c r="D1000" s="448"/>
      <c r="E1000" s="340"/>
      <c r="F1000" s="340"/>
      <c r="G1000" s="340"/>
      <c r="H1000" s="341"/>
      <c r="I1000" s="342"/>
    </row>
    <row r="1001" ht="15.0" customHeight="1">
      <c r="A1001" s="344"/>
      <c r="B1001" s="346"/>
      <c r="C1001" s="345"/>
      <c r="D1001" s="449"/>
      <c r="E1001" s="347"/>
      <c r="F1001" s="347"/>
      <c r="G1001" s="347"/>
      <c r="H1001" s="348"/>
      <c r="I1001" s="349"/>
    </row>
    <row r="1002" ht="15.0" customHeight="1">
      <c r="A1002" s="337"/>
      <c r="B1002" s="339"/>
      <c r="C1002" s="338"/>
      <c r="D1002" s="448"/>
      <c r="E1002" s="340"/>
      <c r="F1002" s="340"/>
      <c r="G1002" s="340"/>
      <c r="H1002" s="341"/>
      <c r="I1002" s="342"/>
    </row>
    <row r="1003" ht="15.0" customHeight="1">
      <c r="A1003" s="344"/>
      <c r="B1003" s="346"/>
      <c r="C1003" s="345"/>
      <c r="D1003" s="449"/>
      <c r="E1003" s="347"/>
      <c r="F1003" s="347"/>
      <c r="G1003" s="347"/>
      <c r="H1003" s="348"/>
      <c r="I1003" s="349"/>
    </row>
    <row r="1004" ht="15.0" customHeight="1">
      <c r="A1004" s="337"/>
      <c r="B1004" s="339"/>
      <c r="C1004" s="338"/>
      <c r="D1004" s="448"/>
      <c r="E1004" s="340"/>
      <c r="F1004" s="340"/>
      <c r="G1004" s="340"/>
      <c r="H1004" s="341"/>
      <c r="I1004" s="342"/>
    </row>
    <row r="1005" ht="15.0" customHeight="1">
      <c r="A1005" s="344"/>
      <c r="B1005" s="346"/>
      <c r="C1005" s="345"/>
      <c r="D1005" s="449"/>
      <c r="E1005" s="347"/>
      <c r="F1005" s="347"/>
      <c r="G1005" s="347"/>
      <c r="H1005" s="348"/>
      <c r="I1005" s="349"/>
    </row>
    <row r="1006" ht="6.0" customHeight="1">
      <c r="A1006" s="479"/>
      <c r="B1006" s="479"/>
      <c r="C1006" s="479"/>
      <c r="D1006" s="479"/>
      <c r="E1006" s="479"/>
      <c r="F1006" s="479"/>
      <c r="G1006" s="479"/>
      <c r="H1006" s="479"/>
      <c r="I1006" s="479"/>
    </row>
    <row r="1007" ht="27.75" customHeight="1">
      <c r="A1007" s="482"/>
      <c r="B1007" s="55"/>
      <c r="C1007" s="55"/>
      <c r="D1007" s="55"/>
      <c r="E1007" s="422"/>
      <c r="F1007" s="483"/>
      <c r="G1007" s="484">
        <f>SUM(G29:G1005)</f>
        <v>0</v>
      </c>
      <c r="H1007" s="485"/>
      <c r="I1007" s="485"/>
    </row>
  </sheetData>
  <autoFilter ref="$A$27:$I$27"/>
  <mergeCells count="24">
    <mergeCell ref="A1:I1"/>
    <mergeCell ref="A2:I2"/>
    <mergeCell ref="A3:I3"/>
    <mergeCell ref="A28:B28"/>
    <mergeCell ref="A129:B129"/>
    <mergeCell ref="A192:B192"/>
    <mergeCell ref="A241:B241"/>
    <mergeCell ref="A305:B305"/>
    <mergeCell ref="A392:B392"/>
    <mergeCell ref="A492:B492"/>
    <mergeCell ref="A591:B591"/>
    <mergeCell ref="A623:B623"/>
    <mergeCell ref="A655:B655"/>
    <mergeCell ref="A687:B687"/>
    <mergeCell ref="A943:B943"/>
    <mergeCell ref="A975:B975"/>
    <mergeCell ref="A1007:E1007"/>
    <mergeCell ref="A719:B719"/>
    <mergeCell ref="A751:B751"/>
    <mergeCell ref="A783:B783"/>
    <mergeCell ref="A815:B815"/>
    <mergeCell ref="A847:B847"/>
    <mergeCell ref="A879:B879"/>
    <mergeCell ref="A911:B9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2026-03-12T10:30:52Z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